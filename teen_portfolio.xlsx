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Б-А\"/>
    </mc:Choice>
  </mc:AlternateContent>
  <xr:revisionPtr revIDLastSave="0" documentId="13_ncr:1_{C7FB5610-B52E-4DED-95DB-F7F3303097EC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🏠 Главная" sheetId="1" r:id="rId1"/>
    <sheet name="📚 Учёба" sheetId="2" r:id="rId2"/>
    <sheet name="🎯 Цели" sheetId="3" r:id="rId3"/>
    <sheet name="🔥 Привычки" sheetId="4" r:id="rId4"/>
    <sheet name="💪 Физкультура" sheetId="5" r:id="rId5"/>
    <sheet name="📖 Книги" sheetId="6" r:id="rId6"/>
    <sheet name="😊 Настроение" sheetId="7" r:id="rId7"/>
    <sheet name="🌟 Мои навыки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8" l="1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C41" i="7"/>
  <c r="C40" i="7"/>
  <c r="C39" i="7"/>
  <c r="C38" i="7"/>
  <c r="C37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I10" i="6"/>
  <c r="I9" i="6"/>
  <c r="I8" i="6"/>
  <c r="I7" i="6"/>
  <c r="I6" i="6"/>
  <c r="B4" i="6"/>
  <c r="C23" i="5"/>
  <c r="C22" i="5"/>
  <c r="C21" i="5"/>
  <c r="AH16" i="4"/>
  <c r="AI16" i="4" s="1"/>
  <c r="AH15" i="4"/>
  <c r="AI15" i="4" s="1"/>
  <c r="AH14" i="4"/>
  <c r="AI14" i="4" s="1"/>
  <c r="AH13" i="4"/>
  <c r="AI13" i="4" s="1"/>
  <c r="AH12" i="4"/>
  <c r="AI12" i="4" s="1"/>
  <c r="AH11" i="4"/>
  <c r="AI11" i="4" s="1"/>
  <c r="AH10" i="4"/>
  <c r="AI10" i="4" s="1"/>
  <c r="AH9" i="4"/>
  <c r="AI9" i="4" s="1"/>
  <c r="AH8" i="4"/>
  <c r="AI8" i="4" s="1"/>
  <c r="AH7" i="4"/>
  <c r="AI7" i="4" s="1"/>
  <c r="AH6" i="4"/>
  <c r="AI6" i="4" s="1"/>
  <c r="AH5" i="4"/>
  <c r="AI5" i="4" s="1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I21" i="2"/>
  <c r="I20" i="2"/>
  <c r="I19" i="2"/>
  <c r="I18" i="2"/>
  <c r="I17" i="2"/>
  <c r="I16" i="2"/>
  <c r="I15" i="2"/>
  <c r="I11" i="2"/>
  <c r="H11" i="2"/>
  <c r="I10" i="2"/>
  <c r="H10" i="2"/>
  <c r="H9" i="2"/>
  <c r="I9" i="2" s="1"/>
  <c r="I8" i="2"/>
  <c r="H8" i="2"/>
  <c r="I7" i="2"/>
  <c r="H7" i="2"/>
  <c r="H6" i="2"/>
  <c r="I6" i="2" s="1"/>
  <c r="H5" i="2"/>
  <c r="I5" i="2" s="1"/>
  <c r="K8" i="1"/>
  <c r="H8" i="1"/>
  <c r="E8" i="1"/>
  <c r="B8" i="1"/>
</calcChain>
</file>

<file path=xl/sharedStrings.xml><?xml version="1.0" encoding="utf-8"?>
<sst xmlns="http://schemas.openxmlformats.org/spreadsheetml/2006/main" count="225" uniqueCount="203">
  <si>
    <t>✨ МОЁ ПОРТФОЛИО ЗНАНИЙ ✨</t>
  </si>
  <si>
    <t xml:space="preserve">Заполни своё имя → </t>
  </si>
  <si>
    <t>📚</t>
  </si>
  <si>
    <t>🎯</t>
  </si>
  <si>
    <t>🔥</t>
  </si>
  <si>
    <t>📖</t>
  </si>
  <si>
    <t>Предметов</t>
  </si>
  <si>
    <t>Целей</t>
  </si>
  <si>
    <t>Привычек</t>
  </si>
  <si>
    <t>Книг прочитано</t>
  </si>
  <si>
    <t>📌 МОИ РАЗДЕЛЫ</t>
  </si>
  <si>
    <t>📚 Учёба</t>
  </si>
  <si>
    <t>🎯 Цели</t>
  </si>
  <si>
    <t>🔥 Привычки</t>
  </si>
  <si>
    <t>💪 Физкультура</t>
  </si>
  <si>
    <t>📖 Книги</t>
  </si>
  <si>
    <t>😊 Настроение</t>
  </si>
  <si>
    <t>💬 "Учиться — значит открывать новые миры каждый день. Ты справишься!" 🚀</t>
  </si>
  <si>
    <t>📚 МОЙ ТРЕКЕР УЧЁБЫ</t>
  </si>
  <si>
    <t>🎓 ОЦЕНКИ ПО ПРЕДМЕТАМ</t>
  </si>
  <si>
    <t>Предмет</t>
  </si>
  <si>
    <t>Янв</t>
  </si>
  <si>
    <t>Фев</t>
  </si>
  <si>
    <t>Мар</t>
  </si>
  <si>
    <t>Апр</t>
  </si>
  <si>
    <t>Май</t>
  </si>
  <si>
    <t>Средняя</t>
  </si>
  <si>
    <t>Статус</t>
  </si>
  <si>
    <t>Математика</t>
  </si>
  <si>
    <t>Русский язык</t>
  </si>
  <si>
    <t>Английский</t>
  </si>
  <si>
    <t>История</t>
  </si>
  <si>
    <t>Биология</t>
  </si>
  <si>
    <t>Физика</t>
  </si>
  <si>
    <t>ИЗО/Музыка</t>
  </si>
  <si>
    <t>⏱️ ВРЕМЯ УЧЁБЫ (часов в неделю)</t>
  </si>
  <si>
    <t>Пн</t>
  </si>
  <si>
    <t>Вт</t>
  </si>
  <si>
    <t>Ср</t>
  </si>
  <si>
    <t>Чт</t>
  </si>
  <si>
    <t>Пт</t>
  </si>
  <si>
    <t>Сб</t>
  </si>
  <si>
    <t>Итого/нед</t>
  </si>
  <si>
    <t>🎯 МОИ ЦЕЛИ И МЕЧТЫ</t>
  </si>
  <si>
    <t>Моя цель</t>
  </si>
  <si>
    <t>Категория</t>
  </si>
  <si>
    <t>Дедлайн</t>
  </si>
  <si>
    <t>Прогресс %</t>
  </si>
  <si>
    <t>Шкала прогресса</t>
  </si>
  <si>
    <t>Выучить 100 английских слов</t>
  </si>
  <si>
    <t>Учёба</t>
  </si>
  <si>
    <t>Прочитать 10 книг</t>
  </si>
  <si>
    <t>Книги</t>
  </si>
  <si>
    <t>Научиться рисовать аниме</t>
  </si>
  <si>
    <t>Творчество</t>
  </si>
  <si>
    <t>Пробегать 3 км без остановки</t>
  </si>
  <si>
    <t>Спорт</t>
  </si>
  <si>
    <t>Выучить таблицу умножения</t>
  </si>
  <si>
    <t>Научиться готовить 5 блюд</t>
  </si>
  <si>
    <t>Жизнь</t>
  </si>
  <si>
    <t>🌈 СОВЕТ: Ставь цели по категориям — учёба, спорт, творчество, жизнь!</t>
  </si>
  <si>
    <t>🌟 МОЙ VISION BOARD — ТОП-3 МЕЧТЫ ЭТОГО ГОДА</t>
  </si>
  <si>
    <t>🏆</t>
  </si>
  <si>
    <t>Мечта #1 — напиши здесь что-то важное для тебя...</t>
  </si>
  <si>
    <t>💫</t>
  </si>
  <si>
    <t>Мечта #2 — напиши здесь что-то важное для тебя...</t>
  </si>
  <si>
    <t>🎨</t>
  </si>
  <si>
    <t>Мечта #3 — напиши здесь что-то важное для тебя...</t>
  </si>
  <si>
    <t>🔥 ТРЕКЕР ПРИВЫЧЕК — МОЙ МЕСЯЦ</t>
  </si>
  <si>
    <t>Привычка</t>
  </si>
  <si>
    <t>✅ Итого</t>
  </si>
  <si>
    <t>% выполн.</t>
  </si>
  <si>
    <t>📚 Читать 20 мин</t>
  </si>
  <si>
    <t>💧 Пить воду</t>
  </si>
  <si>
    <t>🏃 Зарядка</t>
  </si>
  <si>
    <t>🛏️ Лечь спать вовремя</t>
  </si>
  <si>
    <t>📵 Без телефона 1 час</t>
  </si>
  <si>
    <t>🎵 Заниматься музыкой</t>
  </si>
  <si>
    <t>✏️ Делать домашку</t>
  </si>
  <si>
    <t>🧹 Убраться</t>
  </si>
  <si>
    <t>😊 Написать 1 благодарность</t>
  </si>
  <si>
    <t>🎨 Рисовать/творить</t>
  </si>
  <si>
    <t>🤸 Растяжка</t>
  </si>
  <si>
    <t>🌿 Прогулка на улице</t>
  </si>
  <si>
    <t>📝 КАК ЗАПОЛНЯТЬ: Ставь ✓ или + когда выполнишь привычку. Пусто = пропустил. Стремись к 80%+ 🔥</t>
  </si>
  <si>
    <t>🏆 МОИ РЕКОРДЫ НЕДЕЛИ</t>
  </si>
  <si>
    <t>Лучшая привычка</t>
  </si>
  <si>
    <t>Дней подряд</t>
  </si>
  <si>
    <t>Мой результат</t>
  </si>
  <si>
    <t>💪 МОЙ ФИТНЕС-ТРЕКЕР</t>
  </si>
  <si>
    <t>🏃 ДНЕВНИК АКТИВНОСТИ</t>
  </si>
  <si>
    <t>Дата</t>
  </si>
  <si>
    <t>Вид активности</t>
  </si>
  <si>
    <t>Минут</t>
  </si>
  <si>
    <t>Шаги</t>
  </si>
  <si>
    <t>Настроение</t>
  </si>
  <si>
    <t>Заметка</t>
  </si>
  <si>
    <t>Бег</t>
  </si>
  <si>
    <t>😊 Супер</t>
  </si>
  <si>
    <t>Футбол</t>
  </si>
  <si>
    <t>Плавание</t>
  </si>
  <si>
    <t>Велосипед</t>
  </si>
  <si>
    <t>Баскетбол</t>
  </si>
  <si>
    <t>Зарядка</t>
  </si>
  <si>
    <t>Танцы</t>
  </si>
  <si>
    <t>Йога</t>
  </si>
  <si>
    <t>Гимнастика</t>
  </si>
  <si>
    <t>Скакалка</t>
  </si>
  <si>
    <t>📊 ИТОГО ЗА ПЕРИОД</t>
  </si>
  <si>
    <t>Всего тренировок</t>
  </si>
  <si>
    <t>Всего минут</t>
  </si>
  <si>
    <t>Всего шагов</t>
  </si>
  <si>
    <t>📖 МОЙ ЧИТАТЕЛЬСКИЙ ДНЕВНИК</t>
  </si>
  <si>
    <t>🎯 Цель: прочитать книг в этом году →</t>
  </si>
  <si>
    <t>Название книги</t>
  </si>
  <si>
    <t>Автор</t>
  </si>
  <si>
    <t>Жанр</t>
  </si>
  <si>
    <t>Стр.</t>
  </si>
  <si>
    <t>Начал(а)</t>
  </si>
  <si>
    <t>Закончил(а)</t>
  </si>
  <si>
    <t>Оценка /5</t>
  </si>
  <si>
    <t>❤️ Мне понравилось</t>
  </si>
  <si>
    <t>Гарри Поттер и философский камень</t>
  </si>
  <si>
    <t>Дж. Роулинг</t>
  </si>
  <si>
    <t>Фэнтези</t>
  </si>
  <si>
    <t>01.09</t>
  </si>
  <si>
    <t>10.09</t>
  </si>
  <si>
    <t>Маленький принц</t>
  </si>
  <si>
    <t>А. де Сент-Экзюпери</t>
  </si>
  <si>
    <t>Философия</t>
  </si>
  <si>
    <t>12.09</t>
  </si>
  <si>
    <t>13.09</t>
  </si>
  <si>
    <t>Хоббит</t>
  </si>
  <si>
    <t>Дж. Толкин</t>
  </si>
  <si>
    <t>15.09</t>
  </si>
  <si>
    <t>30.09</t>
  </si>
  <si>
    <t>Приключения Тома Сойера</t>
  </si>
  <si>
    <t>М. Твен</t>
  </si>
  <si>
    <t>Приключения</t>
  </si>
  <si>
    <t>01.10</t>
  </si>
  <si>
    <t>15.10</t>
  </si>
  <si>
    <t>Алиса в стране чудес</t>
  </si>
  <si>
    <t>Л. Кэрролл</t>
  </si>
  <si>
    <t>16.10</t>
  </si>
  <si>
    <t>22.10</t>
  </si>
  <si>
    <t>😊 МОЙ ДНЕВНИК НАСТРОЕНИЯ</t>
  </si>
  <si>
    <t>5=😄 Отлично   4=😊 Хорошо   3=😐 Нормально   2=😔 Грустно   1=😤 Плохо</t>
  </si>
  <si>
    <t>Оценка (1-5)</t>
  </si>
  <si>
    <t>Emoji</t>
  </si>
  <si>
    <t>Что происходило?</t>
  </si>
  <si>
    <t>За что я благодарен(а)?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</si>
  <si>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</si>
  <si>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</si>
  <si>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</si>
  <si>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</si>
  <si>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</si>
  <si>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</si>
  <si>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</si>
  <si>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</si>
  <si>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</si>
  <si>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</si>
  <si>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</si>
  <si>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</si>
  <si>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</si>
  <si>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</si>
  <si>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</si>
  <si>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</si>
  <si>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</si>
  <si>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</si>
  <si>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</si>
  <si>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</si>
  <si>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</si>
  <si>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</si>
  <si>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</si>
  <si>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</si>
  <si>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</si>
  <si>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</si>
  <si>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</si>
  <si>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</si>
  <si>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День 29</t>
  </si>
  <si>
    <t>День 30</t>
  </si>
  <si>
    <t>📈 СТАТИСТИКА НАСТРОЕНИЯ</t>
  </si>
  <si>
    <t>😄 Дней "Отлично"</t>
  </si>
  <si>
    <t>😊 Дней "Хорошо"</t>
  </si>
  <si>
    <t>😐 Дней "Нормально"</t>
  </si>
  <si>
    <t>😔 Дней "Грустно"</t>
  </si>
  <si>
    <t>📊 Среднее настроение</t>
  </si>
  <si>
    <t>🌟 МОЯ КАРТА НАВЫКОВ</t>
  </si>
  <si>
    <t>Оцени себя от 1 до 10 в каждой категории</t>
  </si>
  <si>
    <t>Навык</t>
  </si>
  <si>
    <t>Моя оценка (1-10)</t>
  </si>
  <si>
    <t>Шкала</t>
  </si>
  <si>
    <t>Уровень</t>
  </si>
  <si>
    <t>🧠 Математика</t>
  </si>
  <si>
    <t>📝 Языки</t>
  </si>
  <si>
    <t>🎨 Творчество</t>
  </si>
  <si>
    <t>💻 Технологии</t>
  </si>
  <si>
    <t>🏃 Спорт</t>
  </si>
  <si>
    <t>🎵 Музыка</t>
  </si>
  <si>
    <t>🤝 Общение</t>
  </si>
  <si>
    <t>📚 Чтение</t>
  </si>
  <si>
    <t>🧩 Логика</t>
  </si>
  <si>
    <t>🌍 Окружающий мир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</si>
</sst>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%"/>
  </numFmts>
  <fonts count="44" x14ac:knownFonts="1">
    <font>
      <sz val="11"/>
      <color theme="1"/>
      <name val="Calibri"/>
      <family val="2"/>
      <charset val="1"/>
    </font>
    <font>
      <b/>
      <sz val="22"/>
      <color rgb="FF7C3AED"/>
      <name val="Arial"/>
      <charset val="1"/>
    </font>
    <font>
      <sz val="11"/>
      <color rgb="FF6B7280"/>
      <name val="Arial"/>
      <charset val="1"/>
    </font>
    <font>
      <sz val="20"/>
      <name val="Arial"/>
      <charset val="1"/>
    </font>
    <font>
      <sz val="10"/>
      <color rgb="FFA855F7"/>
      <name val="Arial"/>
      <charset val="1"/>
    </font>
    <font>
      <sz val="10"/>
      <color rgb="FFEC4899"/>
      <name val="Arial"/>
      <charset val="1"/>
    </font>
    <font>
      <sz val="10"/>
      <color rgb="FFF97316"/>
      <name val="Arial"/>
      <charset val="1"/>
    </font>
    <font>
      <sz val="10"/>
      <color rgb="FF06B6D4"/>
      <name val="Arial"/>
      <charset val="1"/>
    </font>
    <font>
      <b/>
      <sz val="18"/>
      <color rgb="FFA855F7"/>
      <name val="Arial"/>
      <charset val="1"/>
    </font>
    <font>
      <b/>
      <sz val="18"/>
      <color rgb="FFEC4899"/>
      <name val="Arial"/>
      <charset val="1"/>
    </font>
    <font>
      <b/>
      <sz val="18"/>
      <color rgb="FFF97316"/>
      <name val="Arial"/>
      <charset val="1"/>
    </font>
    <font>
      <b/>
      <sz val="18"/>
      <color rgb="FF06B6D4"/>
      <name val="Arial"/>
      <charset val="1"/>
    </font>
    <font>
      <b/>
      <sz val="13"/>
      <color rgb="FF1E1B4B"/>
      <name val="Arial"/>
      <charset val="1"/>
    </font>
    <font>
      <b/>
      <sz val="12"/>
      <color rgb="FFFFFFFF"/>
      <name val="Arial"/>
      <charset val="1"/>
    </font>
    <font>
      <b/>
      <sz val="11"/>
      <color rgb="FF7C3AED"/>
      <name val="Arial"/>
      <charset val="1"/>
    </font>
    <font>
      <b/>
      <sz val="18"/>
      <color rgb="FFFFFFFF"/>
      <name val="Arial"/>
      <charset val="1"/>
    </font>
    <font>
      <b/>
      <sz val="12"/>
      <color rgb="FF7C3AED"/>
      <name val="Arial"/>
      <charset val="1"/>
    </font>
    <font>
      <b/>
      <sz val="11"/>
      <color rgb="FFFFFFFF"/>
      <name val="Arial"/>
      <charset val="1"/>
    </font>
    <font>
      <b/>
      <sz val="11"/>
      <color rgb="FF1E1B4B"/>
      <name val="Arial"/>
      <charset val="1"/>
    </font>
    <font>
      <sz val="11"/>
      <color rgb="FF1E1B4B"/>
      <name val="Arial"/>
      <charset val="1"/>
    </font>
    <font>
      <sz val="11"/>
      <color rgb="FF000000"/>
      <name val="Arial"/>
      <charset val="1"/>
    </font>
    <font>
      <b/>
      <sz val="12"/>
      <color rgb="FF0E7490"/>
      <name val="Arial"/>
      <charset val="1"/>
    </font>
    <font>
      <b/>
      <sz val="11"/>
      <color rgb="FF0E7490"/>
      <name val="Arial"/>
      <charset val="1"/>
    </font>
    <font>
      <b/>
      <sz val="11"/>
      <color rgb="FFBE185D"/>
      <name val="Arial"/>
      <charset val="1"/>
    </font>
    <font>
      <sz val="11"/>
      <color rgb="FFEC4899"/>
      <name val="Consolas"/>
      <charset val="1"/>
    </font>
    <font>
      <sz val="11"/>
      <color rgb="FF047857"/>
      <name val="Consolas"/>
      <charset val="1"/>
    </font>
    <font>
      <b/>
      <sz val="11"/>
      <color rgb="FF047857"/>
      <name val="Arial"/>
      <charset val="1"/>
    </font>
    <font>
      <sz val="11"/>
      <color rgb="FFBE185D"/>
      <name val="Arial"/>
      <charset val="1"/>
    </font>
    <font>
      <b/>
      <sz val="13"/>
      <color rgb="FFFFFFFF"/>
      <name val="Arial"/>
      <charset val="1"/>
    </font>
    <font>
      <sz val="28"/>
      <name val="Arial"/>
      <charset val="1"/>
    </font>
    <font>
      <sz val="12"/>
      <color rgb="FF6B728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1"/>
      <color rgb="FF047857"/>
      <name val="Arial"/>
      <charset val="1"/>
    </font>
    <font>
      <b/>
      <sz val="11"/>
      <color rgb="FFC2410C"/>
      <name val="Arial"/>
      <charset val="1"/>
    </font>
    <font>
      <b/>
      <sz val="12"/>
      <color rgb="FF047857"/>
      <name val="Arial"/>
      <charset val="1"/>
    </font>
    <font>
      <sz val="11"/>
      <color rgb="FF0E7490"/>
      <name val="Arial"/>
      <charset val="1"/>
    </font>
    <font>
      <b/>
      <sz val="14"/>
      <color rgb="FF0E7490"/>
      <name val="Arial"/>
      <charset val="1"/>
    </font>
    <font>
      <b/>
      <sz val="12"/>
      <color rgb="FFB45309"/>
      <name val="Arial"/>
      <charset val="1"/>
    </font>
    <font>
      <sz val="11"/>
      <color rgb="FFB45309"/>
      <name val="Arial"/>
      <charset val="1"/>
    </font>
    <font>
      <sz val="14"/>
      <name val="Arial"/>
      <charset val="1"/>
    </font>
    <font>
      <b/>
      <sz val="14"/>
      <color rgb="FFB45309"/>
      <name val="Arial"/>
      <charset val="1"/>
    </font>
    <font>
      <sz val="11"/>
      <color rgb="FF7C3AED"/>
      <name val="Arial"/>
      <charset val="1"/>
    </font>
    <font>
      <b/>
      <sz val="14"/>
      <color rgb="FF7C3AED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F5F3FF"/>
        <bgColor rgb="FFF3F4F6"/>
      </patternFill>
    </fill>
    <fill>
      <patternFill patternType="solid">
        <fgColor rgb="FFE9D5FF"/>
        <bgColor rgb="FFE5E7EB"/>
      </patternFill>
    </fill>
    <fill>
      <patternFill patternType="solid">
        <fgColor rgb="FFFFFFFF"/>
        <bgColor rgb="FFF9F9F9"/>
      </patternFill>
    </fill>
    <fill>
      <patternFill patternType="solid">
        <fgColor rgb="FFFEF3C7"/>
        <bgColor rgb="FFFFEDD5"/>
      </patternFill>
    </fill>
    <fill>
      <patternFill patternType="solid">
        <fgColor rgb="FFFCE7F3"/>
        <bgColor rgb="FFF5F3FF"/>
      </patternFill>
    </fill>
    <fill>
      <patternFill patternType="solid">
        <fgColor rgb="FFFFEDD5"/>
        <bgColor rgb="FFFEF3C7"/>
      </patternFill>
    </fill>
    <fill>
      <patternFill patternType="solid">
        <fgColor rgb="FFCFFAFE"/>
        <bgColor rgb="FFD1FAE5"/>
      </patternFill>
    </fill>
    <fill>
      <patternFill patternType="solid">
        <fgColor rgb="FFF3F4F6"/>
        <bgColor rgb="FFF5F3FF"/>
      </patternFill>
    </fill>
    <fill>
      <patternFill patternType="solid">
        <fgColor rgb="FF7C3AED"/>
        <bgColor rgb="FFA855F7"/>
      </patternFill>
    </fill>
    <fill>
      <patternFill patternType="solid">
        <fgColor rgb="FFBE185D"/>
        <bgColor rgb="FF800080"/>
      </patternFill>
    </fill>
    <fill>
      <patternFill patternType="solid">
        <fgColor rgb="FFC2410C"/>
        <bgColor rgb="FFB45309"/>
      </patternFill>
    </fill>
    <fill>
      <patternFill patternType="solid">
        <fgColor rgb="FF047857"/>
        <bgColor rgb="FF0E7490"/>
      </patternFill>
    </fill>
    <fill>
      <patternFill patternType="solid">
        <fgColor rgb="FF0E7490"/>
        <bgColor rgb="FF047857"/>
      </patternFill>
    </fill>
    <fill>
      <patternFill patternType="solid">
        <fgColor rgb="FFB45309"/>
        <bgColor rgb="FFC2410C"/>
      </patternFill>
    </fill>
    <fill>
      <patternFill patternType="solid">
        <fgColor rgb="FFA855F7"/>
        <bgColor rgb="FF7C3AED"/>
      </patternFill>
    </fill>
    <fill>
      <patternFill patternType="solid">
        <fgColor rgb="FFEC4899"/>
        <bgColor rgb="FFBE185D"/>
      </patternFill>
    </fill>
    <fill>
      <patternFill patternType="solid">
        <fgColor rgb="FFD1FAE5"/>
        <bgColor rgb="FFCFFAFE"/>
      </patternFill>
    </fill>
    <fill>
      <patternFill patternType="solid">
        <fgColor rgb="FF06B6D4"/>
        <bgColor rgb="FF10B981"/>
      </patternFill>
    </fill>
    <fill>
      <patternFill patternType="solid">
        <fgColor rgb="FFF97316"/>
        <bgColor rgb="FFF59E0B"/>
      </patternFill>
    </fill>
  </fills>
  <borders count="4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5" borderId="3" xfId="0" applyFill="1" applyBorder="1"/>
    <xf numFmtId="0" fontId="17" fillId="10" borderId="3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164" fontId="14" fillId="3" borderId="3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left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18" fillId="18" borderId="3" xfId="0" applyFont="1" applyFill="1" applyBorder="1" applyAlignment="1">
      <alignment horizontal="left" vertical="center" wrapText="1"/>
    </xf>
    <xf numFmtId="0" fontId="20" fillId="18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9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center" vertical="center" wrapText="1"/>
    </xf>
    <xf numFmtId="165" fontId="23" fillId="4" borderId="3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left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19" fillId="18" borderId="3" xfId="0" applyFont="1" applyFill="1" applyBorder="1" applyAlignment="1">
      <alignment horizontal="left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19" fillId="7" borderId="3" xfId="0" applyFont="1" applyFill="1" applyBorder="1" applyAlignment="1">
      <alignment horizontal="center" vertical="center" wrapText="1"/>
    </xf>
    <xf numFmtId="165" fontId="26" fillId="4" borderId="3" xfId="0" applyNumberFormat="1" applyFont="1" applyFill="1" applyBorder="1" applyAlignment="1">
      <alignment horizontal="center" vertical="center" wrapText="1"/>
    </xf>
    <xf numFmtId="0" fontId="25" fillId="18" borderId="3" xfId="0" applyFont="1" applyFill="1" applyBorder="1" applyAlignment="1">
      <alignment horizontal="left" vertical="center" wrapText="1"/>
    </xf>
    <xf numFmtId="0" fontId="19" fillId="5" borderId="3" xfId="0" applyFont="1" applyFill="1" applyBorder="1" applyAlignment="1">
      <alignment horizontal="left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34" fillId="8" borderId="3" xfId="0" applyFont="1" applyFill="1" applyBorder="1" applyAlignment="1">
      <alignment horizontal="center" vertical="center" wrapText="1"/>
    </xf>
    <xf numFmtId="9" fontId="34" fillId="8" borderId="3" xfId="0" applyNumberFormat="1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9" fontId="34" fillId="18" borderId="3" xfId="0" applyNumberFormat="1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9" fontId="34" fillId="3" borderId="3" xfId="0" applyNumberFormat="1" applyFont="1" applyFill="1" applyBorder="1" applyAlignment="1">
      <alignment horizontal="center" vertical="center" wrapText="1"/>
    </xf>
    <xf numFmtId="0" fontId="34" fillId="7" borderId="3" xfId="0" applyFont="1" applyFill="1" applyBorder="1" applyAlignment="1">
      <alignment horizontal="center" vertical="center" wrapText="1"/>
    </xf>
    <xf numFmtId="9" fontId="34" fillId="7" borderId="3" xfId="0" applyNumberFormat="1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center" vertical="center" wrapText="1"/>
    </xf>
    <xf numFmtId="9" fontId="34" fillId="6" borderId="3" xfId="0" applyNumberFormat="1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9" fontId="34" fillId="5" borderId="3" xfId="0" applyNumberFormat="1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37" fillId="5" borderId="3" xfId="0" applyFont="1" applyFill="1" applyBorder="1" applyAlignment="1">
      <alignment horizontal="center" vertical="center" wrapText="1"/>
    </xf>
    <xf numFmtId="0" fontId="31" fillId="14" borderId="3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1" fontId="41" fillId="4" borderId="3" xfId="0" applyNumberFormat="1" applyFont="1" applyFill="1" applyBorder="1" applyAlignment="1">
      <alignment horizontal="center" vertical="center" wrapText="1"/>
    </xf>
    <xf numFmtId="164" fontId="41" fillId="4" borderId="3" xfId="0" applyNumberFormat="1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39" fillId="3" borderId="3" xfId="0" applyFont="1" applyFill="1" applyBorder="1" applyAlignment="1">
      <alignment horizontal="left" vertical="center" wrapText="1"/>
    </xf>
    <xf numFmtId="0" fontId="39" fillId="6" borderId="3" xfId="0" applyFont="1" applyFill="1" applyBorder="1" applyAlignment="1">
      <alignment horizontal="left" vertical="center" wrapText="1"/>
    </xf>
    <xf numFmtId="0" fontId="39" fillId="5" borderId="3" xfId="0" applyFont="1" applyFill="1" applyBorder="1" applyAlignment="1">
      <alignment horizontal="left" vertical="center" wrapText="1"/>
    </xf>
    <xf numFmtId="0" fontId="39" fillId="8" borderId="3" xfId="0" applyFont="1" applyFill="1" applyBorder="1" applyAlignment="1">
      <alignment horizontal="left" vertical="center" wrapText="1"/>
    </xf>
    <xf numFmtId="0" fontId="39" fillId="18" borderId="3" xfId="0" applyFont="1" applyFill="1" applyBorder="1" applyAlignment="1">
      <alignment horizontal="left" vertical="center" wrapText="1"/>
    </xf>
    <xf numFmtId="0" fontId="39" fillId="7" borderId="3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D9D9D9"/>
      <rgbColor rgb="FF878787"/>
      <rgbColor rgb="FFA855F7"/>
      <rgbColor rgb="FFBE185D"/>
      <rgbColor rgb="FFFEF3C7"/>
      <rgbColor rgb="FFCFFAFE"/>
      <rgbColor rgb="FF660066"/>
      <rgbColor rgb="FFEC4899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6B6D4"/>
      <rgbColor rgb="FFF3F4F6"/>
      <rgbColor rgb="FFD1FAE5"/>
      <rgbColor rgb="FFFFEDD5"/>
      <rgbColor rgb="FFE5E7EB"/>
      <rgbColor rgb="FFF5F3FF"/>
      <rgbColor rgb="FFF9F9F9"/>
      <rgbColor rgb="FFFCE7F3"/>
      <rgbColor rgb="FF3366FF"/>
      <rgbColor rgb="FF33CCCC"/>
      <rgbColor rgb="FF99CC00"/>
      <rgbColor rgb="FFFFCC00"/>
      <rgbColor rgb="FFF59E0B"/>
      <rgbColor rgb="FFF97316"/>
      <rgbColor rgb="FF6B7280"/>
      <rgbColor rgb="FF969696"/>
      <rgbColor rgb="FF003366"/>
      <rgbColor rgb="FF10B981"/>
      <rgbColor rgb="FF003300"/>
      <rgbColor rgb="FF333300"/>
      <rgbColor rgb="FFC2410C"/>
      <rgbColor rgb="FFB45309"/>
      <rgbColor rgb="FF7C3AED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Мои оценки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'📚 Учёба'!$H$4</c:f>
              <c:strCache>
                <c:ptCount val="1"/>
                <c:pt idx="0">
                  <c:v>Средняя</c:v>
                </c:pt>
              </c:strCache>
            </c:strRef>
          </c:tx>
          <c:spPr>
            <a:solidFill>
              <a:srgbClr val="A855F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'📚 Учёба'!$B$5:$B$11</c:f>
              <c:strCache>
                <c:ptCount val="7"/>
                <c:pt idx="0">
                  <c:v>Математика</c:v>
                </c:pt>
                <c:pt idx="1">
                  <c:v>Русский язык</c:v>
                </c:pt>
                <c:pt idx="2">
                  <c:v>Английский</c:v>
                </c:pt>
                <c:pt idx="3">
                  <c:v>История</c:v>
                </c:pt>
                <c:pt idx="4">
                  <c:v>Биология</c:v>
                </c:pt>
                <c:pt idx="5">
                  <c:v>Физика</c:v>
                </c:pt>
                <c:pt idx="6">
                  <c:v>ИЗО/Музыка</c:v>
                </c:pt>
              </c:strCache>
            </c:strRef>
          </c:cat>
          <c:val>
            <c:numRef>
              <c:f>'📚 Учёба'!$H$5:$H$11</c:f>
              <c:numCache>
                <c:formatCode>0.0</c:formatCode>
                <c:ptCount val="7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0-4E1D-B8F2-CDBB1F235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09810"/>
        <c:axId val="876007"/>
      </c:barChart>
      <c:catAx>
        <c:axId val="38509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76007"/>
        <c:crosses val="autoZero"/>
        <c:auto val="1"/>
        <c:lblAlgn val="ctr"/>
        <c:lblOffset val="100"/>
        <c:noMultiLvlLbl val="0"/>
      </c:catAx>
      <c:valAx>
        <c:axId val="876007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Оценка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8509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Мои тренировки (минут)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'💪 Физкультура'!$D$4</c:f>
              <c:strCache>
                <c:ptCount val="1"/>
                <c:pt idx="0">
                  <c:v>Минут</c:v>
                </c:pt>
              </c:strCache>
            </c:strRef>
          </c:tx>
          <c:spPr>
            <a:ln w="20160">
              <a:solidFill>
                <a:srgbClr val="04785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'💪 Физкультура'!$C$5:$C$19</c:f>
              <c:strCache>
                <c:ptCount val="10"/>
                <c:pt idx="0">
                  <c:v>Бег</c:v>
                </c:pt>
                <c:pt idx="1">
                  <c:v>Футбол</c:v>
                </c:pt>
                <c:pt idx="2">
                  <c:v>Плавание</c:v>
                </c:pt>
                <c:pt idx="3">
                  <c:v>Велосипед</c:v>
                </c:pt>
                <c:pt idx="4">
                  <c:v>Баскетбол</c:v>
                </c:pt>
                <c:pt idx="5">
                  <c:v>Зарядка</c:v>
                </c:pt>
                <c:pt idx="6">
                  <c:v>Танцы</c:v>
                </c:pt>
                <c:pt idx="7">
                  <c:v>Йога</c:v>
                </c:pt>
                <c:pt idx="8">
                  <c:v>Гимнастика</c:v>
                </c:pt>
                <c:pt idx="9">
                  <c:v>Скакалка</c:v>
                </c:pt>
              </c:strCache>
            </c:strRef>
          </c:cat>
          <c:val>
            <c:numRef>
              <c:f>'💪 Физкультура'!$D$5:$D$19</c:f>
              <c:numCache>
                <c:formatCode>General</c:formatCode>
                <c:ptCount val="1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40</c:v>
                </c:pt>
                <c:pt idx="4">
                  <c:v>50</c:v>
                </c:pt>
                <c:pt idx="5">
                  <c:v>20</c:v>
                </c:pt>
                <c:pt idx="6">
                  <c:v>35</c:v>
                </c:pt>
                <c:pt idx="7">
                  <c:v>30</c:v>
                </c:pt>
                <c:pt idx="8">
                  <c:v>40</c:v>
                </c:pt>
                <c:pt idx="9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2A-4AB3-9E0E-77E1983C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009693"/>
        <c:axId val="70141881"/>
      </c:lineChart>
      <c:catAx>
        <c:axId val="97009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0141881"/>
        <c:crosses val="autoZero"/>
        <c:auto val="1"/>
        <c:lblAlgn val="ctr"/>
        <c:lblOffset val="100"/>
        <c:noMultiLvlLbl val="0"/>
      </c:catAx>
      <c:valAx>
        <c:axId val="70141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009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Мои дни настроения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'😊 Настроение'!$C$4</c:f>
              <c:strCache>
                <c:ptCount val="1"/>
                <c:pt idx="0">
                  <c:v>Оценка (1-5)</c:v>
                </c:pt>
              </c:strCache>
            </c:strRef>
          </c:tx>
          <c:spPr>
            <a:ln w="24840">
              <a:solidFill>
                <a:srgbClr val="B4530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'😊 Настроение'!$C$5:$C$34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4B-4938-8243-BFBDD0456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783564"/>
        <c:axId val="19489905"/>
      </c:lineChart>
      <c:catAx>
        <c:axId val="787835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19489905"/>
        <c:crosses val="autoZero"/>
        <c:auto val="1"/>
        <c:lblAlgn val="ctr"/>
        <c:lblOffset val="100"/>
        <c:noMultiLvlLbl val="0"/>
      </c:catAx>
      <c:valAx>
        <c:axId val="19489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87835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Мой профиль навыков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'🌟 Мои навыки'!$C$4</c:f>
              <c:strCache>
                <c:ptCount val="1"/>
                <c:pt idx="0">
                  <c:v>Моя оценка (1-10)</c:v>
                </c:pt>
              </c:strCache>
            </c:strRef>
          </c:tx>
          <c:spPr>
            <a:solidFill>
              <a:srgbClr val="E9D5FF"/>
            </a:solidFill>
            <a:ln w="9360">
              <a:solidFill>
                <a:srgbClr val="7C3AE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'🌟 Мои навыки'!$B$5:$B$14</c:f>
              <c:strCache>
                <c:ptCount val="10"/>
                <c:pt idx="0">
                  <c:v>🧠 Математика</c:v>
                </c:pt>
                <c:pt idx="1">
                  <c:v>📝 Языки</c:v>
                </c:pt>
                <c:pt idx="2">
                  <c:v>🎨 Творчество</c:v>
                </c:pt>
                <c:pt idx="3">
                  <c:v>💻 Технологии</c:v>
                </c:pt>
                <c:pt idx="4">
                  <c:v>🏃 Спорт</c:v>
                </c:pt>
                <c:pt idx="5">
                  <c:v>🎵 Музыка</c:v>
                </c:pt>
                <c:pt idx="6">
                  <c:v>🤝 Общение</c:v>
                </c:pt>
                <c:pt idx="7">
                  <c:v>📚 Чтение</c:v>
                </c:pt>
                <c:pt idx="8">
                  <c:v>🧩 Логика</c:v>
                </c:pt>
                <c:pt idx="9">
                  <c:v>🌍 Окружающий мир</c:v>
                </c:pt>
              </c:strCache>
            </c:strRef>
          </c:cat>
          <c:val>
            <c:numRef>
              <c:f>'🌟 Мои навыки'!$C$5:$C$14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E-4BC9-A6FF-B5AD455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63404"/>
        <c:axId val="99815480"/>
      </c:radarChart>
      <c:catAx>
        <c:axId val="363634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9815480"/>
        <c:crosses val="autoZero"/>
        <c:auto val="1"/>
        <c:lblAlgn val="ctr"/>
        <c:lblOffset val="100"/>
        <c:noMultiLvlLbl val="0"/>
      </c:catAx>
      <c:valAx>
        <c:axId val="99815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63634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364680</xdr:colOff>
      <xdr:row>19</xdr:row>
      <xdr:rowOff>156960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17</xdr:row>
      <xdr:rowOff>103680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364320</xdr:colOff>
      <xdr:row>20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26</xdr:row>
      <xdr:rowOff>74880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55F7"/>
  </sheetPr>
  <dimension ref="A1:T60"/>
  <sheetViews>
    <sheetView showGridLines="0" zoomScaleNormal="100" workbookViewId="0">
      <selection activeCell="B8" sqref="B8:D8"/>
    </sheetView>
  </sheetViews>
  <sheetFormatPr defaultColWidth="8.7109375" defaultRowHeight="15" x14ac:dyDescent="0.25"/>
  <cols>
    <col min="1" max="1" width="8" customWidth="1"/>
    <col min="2" max="17" width="10" customWidth="1"/>
  </cols>
  <sheetData>
    <row r="1" spans="1:2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0" customHeight="1" x14ac:dyDescent="0.2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5"/>
      <c r="O2" s="15"/>
      <c r="P2" s="15"/>
      <c r="Q2" s="15"/>
      <c r="R2" s="15"/>
      <c r="S2" s="15"/>
      <c r="T2" s="15"/>
    </row>
    <row r="3" spans="1:20" ht="19.5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N3" s="15"/>
      <c r="O3" s="15"/>
      <c r="P3" s="15"/>
      <c r="Q3" s="15"/>
      <c r="R3" s="15"/>
      <c r="S3" s="15"/>
      <c r="T3" s="15"/>
    </row>
    <row r="4" spans="1:20" ht="15" customHeight="1" x14ac:dyDescent="0.25">
      <c r="A4" s="15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6"/>
      <c r="N4" s="15"/>
      <c r="O4" s="15"/>
      <c r="P4" s="15"/>
      <c r="Q4" s="15"/>
      <c r="R4" s="15"/>
      <c r="S4" s="15"/>
      <c r="T4" s="15"/>
    </row>
    <row r="5" spans="1:2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30" customHeight="1" x14ac:dyDescent="0.25">
      <c r="A6" s="15"/>
      <c r="B6" s="12" t="s">
        <v>2</v>
      </c>
      <c r="C6" s="12"/>
      <c r="D6" s="12"/>
      <c r="E6" s="11" t="s">
        <v>3</v>
      </c>
      <c r="F6" s="11"/>
      <c r="G6" s="11"/>
      <c r="H6" s="10" t="s">
        <v>4</v>
      </c>
      <c r="I6" s="10"/>
      <c r="J6" s="10"/>
      <c r="K6" s="9" t="s">
        <v>5</v>
      </c>
      <c r="L6" s="9"/>
      <c r="M6" s="9"/>
      <c r="N6" s="15"/>
      <c r="O6" s="15"/>
      <c r="P6" s="15"/>
      <c r="Q6" s="15"/>
      <c r="R6" s="15"/>
      <c r="S6" s="15"/>
      <c r="T6" s="15"/>
    </row>
    <row r="7" spans="1:20" ht="18" customHeight="1" x14ac:dyDescent="0.25">
      <c r="A7" s="15"/>
      <c r="B7" s="8" t="s">
        <v>6</v>
      </c>
      <c r="C7" s="8"/>
      <c r="D7" s="8"/>
      <c r="E7" s="7" t="s">
        <v>7</v>
      </c>
      <c r="F7" s="7"/>
      <c r="G7" s="7"/>
      <c r="H7" s="6" t="s">
        <v>8</v>
      </c>
      <c r="I7" s="6"/>
      <c r="J7" s="6"/>
      <c r="K7" s="5" t="s">
        <v>9</v>
      </c>
      <c r="L7" s="5"/>
      <c r="M7" s="5"/>
      <c r="N7" s="15"/>
      <c r="O7" s="15"/>
      <c r="P7" s="15"/>
      <c r="Q7" s="15"/>
      <c r="R7" s="15"/>
      <c r="S7" s="15"/>
      <c r="T7" s="15"/>
    </row>
    <row r="8" spans="1:20" ht="33.75" customHeight="1" x14ac:dyDescent="0.25">
      <c r="A8" s="15"/>
      <c r="B8" s="4">
        <f>COUNTA('📚 Учёба'!B5:B11)</f>
        <v>7</v>
      </c>
      <c r="C8" s="4"/>
      <c r="D8" s="4"/>
      <c r="E8" s="3">
        <f>COUNTA('🎯 Цели'!B5:B14)</f>
        <v>6</v>
      </c>
      <c r="F8" s="3"/>
      <c r="G8" s="3"/>
      <c r="H8" s="2">
        <f>COUNTA('🔥 Привычки'!B5:B16)</f>
        <v>12</v>
      </c>
      <c r="I8" s="2"/>
      <c r="J8" s="2"/>
      <c r="K8" s="1">
        <f>COUNTA('📖 Книги'!B5:B24)</f>
        <v>6</v>
      </c>
      <c r="L8" s="1"/>
      <c r="M8" s="1"/>
      <c r="N8" s="15"/>
      <c r="O8" s="15"/>
      <c r="P8" s="15"/>
      <c r="Q8" s="15"/>
      <c r="R8" s="15"/>
      <c r="S8" s="15"/>
      <c r="T8" s="15"/>
    </row>
    <row r="9" spans="1:20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21.75" customHeight="1" x14ac:dyDescent="0.25">
      <c r="A10" s="15"/>
      <c r="B10" s="91" t="s">
        <v>10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15"/>
      <c r="N10" s="15"/>
      <c r="O10" s="15"/>
      <c r="P10" s="15"/>
      <c r="Q10" s="15"/>
      <c r="R10" s="15"/>
      <c r="S10" s="15"/>
      <c r="T10" s="15"/>
    </row>
    <row r="11" spans="1:20" ht="21.75" customHeight="1" x14ac:dyDescent="0.25">
      <c r="A11" s="15"/>
      <c r="B11" s="92" t="s">
        <v>11</v>
      </c>
      <c r="C11" s="92"/>
      <c r="D11" s="92"/>
      <c r="E11" s="15"/>
      <c r="F11" s="93" t="s">
        <v>12</v>
      </c>
      <c r="G11" s="93"/>
      <c r="H11" s="93"/>
      <c r="I11" s="15"/>
      <c r="J11" s="94" t="s">
        <v>13</v>
      </c>
      <c r="K11" s="94"/>
      <c r="L11" s="94"/>
      <c r="M11" s="15"/>
      <c r="N11" s="15"/>
      <c r="O11" s="15"/>
      <c r="P11" s="15"/>
      <c r="Q11" s="15"/>
      <c r="R11" s="15"/>
      <c r="S11" s="15"/>
      <c r="T11" s="15"/>
    </row>
    <row r="12" spans="1:20" ht="21.75" customHeight="1" x14ac:dyDescent="0.25">
      <c r="A12" s="15"/>
      <c r="B12" s="92"/>
      <c r="C12" s="92"/>
      <c r="D12" s="92"/>
      <c r="E12" s="15"/>
      <c r="F12" s="93"/>
      <c r="G12" s="93"/>
      <c r="H12" s="93"/>
      <c r="I12" s="15"/>
      <c r="J12" s="94"/>
      <c r="K12" s="94"/>
      <c r="L12" s="94"/>
      <c r="M12" s="15"/>
      <c r="N12" s="15"/>
      <c r="O12" s="15"/>
      <c r="P12" s="15"/>
      <c r="Q12" s="15"/>
      <c r="R12" s="15"/>
      <c r="S12" s="15"/>
      <c r="T12" s="15"/>
    </row>
    <row r="13" spans="1:20" ht="21.75" customHeight="1" x14ac:dyDescent="0.25">
      <c r="A13" s="15"/>
      <c r="B13" s="95" t="s">
        <v>14</v>
      </c>
      <c r="C13" s="95"/>
      <c r="D13" s="95"/>
      <c r="E13" s="15"/>
      <c r="F13" s="96" t="s">
        <v>15</v>
      </c>
      <c r="G13" s="96"/>
      <c r="H13" s="96"/>
      <c r="I13" s="15"/>
      <c r="J13" s="97" t="s">
        <v>16</v>
      </c>
      <c r="K13" s="97"/>
      <c r="L13" s="97"/>
      <c r="M13" s="15"/>
      <c r="N13" s="15"/>
      <c r="O13" s="15"/>
      <c r="P13" s="15"/>
      <c r="Q13" s="15"/>
      <c r="R13" s="15"/>
      <c r="S13" s="15"/>
      <c r="T13" s="15"/>
    </row>
    <row r="14" spans="1:20" ht="21.75" customHeight="1" x14ac:dyDescent="0.25">
      <c r="A14" s="15"/>
      <c r="B14" s="95"/>
      <c r="C14" s="95"/>
      <c r="D14" s="95"/>
      <c r="E14" s="15"/>
      <c r="F14" s="96"/>
      <c r="G14" s="96"/>
      <c r="H14" s="96"/>
      <c r="I14" s="15"/>
      <c r="J14" s="97"/>
      <c r="K14" s="97"/>
      <c r="L14" s="97"/>
      <c r="M14" s="15"/>
      <c r="N14" s="15"/>
      <c r="O14" s="15"/>
      <c r="P14" s="15"/>
      <c r="Q14" s="15"/>
      <c r="R14" s="15"/>
      <c r="S14" s="15"/>
      <c r="T14" s="15"/>
    </row>
    <row r="15" spans="1:20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21.75" customHeight="1" x14ac:dyDescent="0.25">
      <c r="A16" s="15"/>
      <c r="B16" s="98" t="s">
        <v>17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15"/>
      <c r="N16" s="15"/>
      <c r="O16" s="15"/>
      <c r="P16" s="15"/>
      <c r="Q16" s="15"/>
      <c r="R16" s="15"/>
      <c r="S16" s="15"/>
      <c r="T16" s="15"/>
    </row>
    <row r="17" spans="1:20" ht="21.75" customHeight="1" x14ac:dyDescent="0.25">
      <c r="A17" s="15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15"/>
      <c r="N17" s="15"/>
      <c r="O17" s="15"/>
      <c r="P17" s="15"/>
      <c r="Q17" s="15"/>
      <c r="R17" s="15"/>
      <c r="S17" s="15"/>
      <c r="T17" s="15"/>
    </row>
    <row r="18" spans="1:2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</sheetData>
  <mergeCells count="22">
    <mergeCell ref="B16:L17"/>
    <mergeCell ref="B10:L10"/>
    <mergeCell ref="B11:D12"/>
    <mergeCell ref="F11:H12"/>
    <mergeCell ref="J11:L12"/>
    <mergeCell ref="B13:D14"/>
    <mergeCell ref="F13:H14"/>
    <mergeCell ref="J13:L14"/>
    <mergeCell ref="B7:D7"/>
    <mergeCell ref="E7:G7"/>
    <mergeCell ref="H7:J7"/>
    <mergeCell ref="K7:M7"/>
    <mergeCell ref="B8:D8"/>
    <mergeCell ref="E8:G8"/>
    <mergeCell ref="H8:J8"/>
    <mergeCell ref="K8:M8"/>
    <mergeCell ref="B2:L3"/>
    <mergeCell ref="B4:L4"/>
    <mergeCell ref="B6:D6"/>
    <mergeCell ref="E6:G6"/>
    <mergeCell ref="H6:J6"/>
    <mergeCell ref="K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55F7"/>
  </sheetPr>
  <dimension ref="A1:T50"/>
  <sheetViews>
    <sheetView showGridLines="0" zoomScaleNormal="100" workbookViewId="0">
      <selection activeCell="L24" sqref="L24"/>
    </sheetView>
  </sheetViews>
  <sheetFormatPr defaultColWidth="8.7109375" defaultRowHeight="15" x14ac:dyDescent="0.25"/>
  <cols>
    <col min="1" max="1" width="2" customWidth="1"/>
    <col min="2" max="2" width="16" customWidth="1"/>
    <col min="3" max="7" width="7" customWidth="1"/>
    <col min="8" max="8" width="9" customWidth="1"/>
    <col min="9" max="9" width="13" customWidth="1"/>
  </cols>
  <sheetData>
    <row r="1" spans="1:2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1.5" customHeight="1" x14ac:dyDescent="0.25">
      <c r="A2" s="15"/>
      <c r="B2" s="99" t="s">
        <v>18</v>
      </c>
      <c r="C2" s="99"/>
      <c r="D2" s="99"/>
      <c r="E2" s="99"/>
      <c r="F2" s="99"/>
      <c r="G2" s="99"/>
      <c r="H2" s="99"/>
      <c r="I2" s="99"/>
      <c r="J2" s="99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9.5" customHeight="1" x14ac:dyDescent="0.25">
      <c r="A3" s="15"/>
      <c r="B3" s="100" t="s">
        <v>19</v>
      </c>
      <c r="C3" s="100"/>
      <c r="D3" s="100"/>
      <c r="E3" s="100"/>
      <c r="F3" s="100"/>
      <c r="G3" s="100"/>
      <c r="H3" s="100"/>
      <c r="I3" s="100"/>
      <c r="J3" s="100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1.75" customHeight="1" x14ac:dyDescent="0.25">
      <c r="A4" s="15"/>
      <c r="B4" s="17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25</v>
      </c>
      <c r="H4" s="19" t="s">
        <v>26</v>
      </c>
      <c r="I4" s="20" t="s">
        <v>27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21.75" customHeight="1" x14ac:dyDescent="0.25">
      <c r="A5" s="15"/>
      <c r="B5" s="21" t="s">
        <v>28</v>
      </c>
      <c r="C5" s="22">
        <v>5</v>
      </c>
      <c r="D5" s="22"/>
      <c r="E5" s="22"/>
      <c r="F5" s="22"/>
      <c r="G5" s="22"/>
      <c r="H5" s="23">
        <f t="shared" ref="H5:H11" si="0">IFERROR(AVERAGE(C5:G5),"")</f>
        <v>5</v>
      </c>
      <c r="I5" s="24" t="str">
        <f t="shared" ref="I5:I11" si="1">IFERROR(IF(H5&gt;=4.5,"🌟 Отлично",IF(H5&gt;=3.5,"👍 Хорошо",IF(H5&gt;=2.5,"📈 Старайся","❓"))),"")</f>
        <v>🌟 Отлично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21.75" customHeight="1" x14ac:dyDescent="0.25">
      <c r="A6" s="15"/>
      <c r="B6" s="25" t="s">
        <v>29</v>
      </c>
      <c r="C6" s="22">
        <v>5</v>
      </c>
      <c r="D6" s="22"/>
      <c r="E6" s="22"/>
      <c r="F6" s="22"/>
      <c r="G6" s="22"/>
      <c r="H6" s="23">
        <f t="shared" si="0"/>
        <v>5</v>
      </c>
      <c r="I6" s="26" t="str">
        <f t="shared" si="1"/>
        <v>🌟 Отлично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21.75" customHeight="1" x14ac:dyDescent="0.25">
      <c r="A7" s="15"/>
      <c r="B7" s="27" t="s">
        <v>30</v>
      </c>
      <c r="C7" s="22"/>
      <c r="D7" s="22"/>
      <c r="E7" s="22"/>
      <c r="F7" s="22"/>
      <c r="G7" s="22"/>
      <c r="H7" s="23" t="str">
        <f t="shared" si="0"/>
        <v/>
      </c>
      <c r="I7" s="28" t="str">
        <f t="shared" si="1"/>
        <v>🌟 Отлично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21.75" customHeight="1" x14ac:dyDescent="0.25">
      <c r="A8" s="15"/>
      <c r="B8" s="29" t="s">
        <v>31</v>
      </c>
      <c r="C8" s="22"/>
      <c r="D8" s="22"/>
      <c r="E8" s="22"/>
      <c r="F8" s="22"/>
      <c r="G8" s="22"/>
      <c r="H8" s="23" t="str">
        <f t="shared" si="0"/>
        <v/>
      </c>
      <c r="I8" s="30" t="str">
        <f t="shared" si="1"/>
        <v>🌟 Отлично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21.75" customHeight="1" x14ac:dyDescent="0.25">
      <c r="A9" s="15"/>
      <c r="B9" s="31" t="s">
        <v>32</v>
      </c>
      <c r="C9" s="22">
        <v>3</v>
      </c>
      <c r="D9" s="22"/>
      <c r="E9" s="22"/>
      <c r="F9" s="22"/>
      <c r="G9" s="22"/>
      <c r="H9" s="23">
        <f t="shared" si="0"/>
        <v>3</v>
      </c>
      <c r="I9" s="32" t="str">
        <f t="shared" si="1"/>
        <v>📈 Старайся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21.75" customHeight="1" x14ac:dyDescent="0.25">
      <c r="A10" s="15"/>
      <c r="B10" s="33" t="s">
        <v>33</v>
      </c>
      <c r="C10" s="22"/>
      <c r="D10" s="22"/>
      <c r="E10" s="22"/>
      <c r="F10" s="22"/>
      <c r="G10" s="22"/>
      <c r="H10" s="23" t="str">
        <f t="shared" si="0"/>
        <v/>
      </c>
      <c r="I10" s="34" t="str">
        <f t="shared" si="1"/>
        <v>🌟 Отлично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21.75" customHeight="1" x14ac:dyDescent="0.25">
      <c r="A11" s="15"/>
      <c r="B11" s="21" t="s">
        <v>34</v>
      </c>
      <c r="C11" s="22"/>
      <c r="D11" s="22"/>
      <c r="E11" s="22"/>
      <c r="F11" s="22"/>
      <c r="G11" s="22"/>
      <c r="H11" s="23" t="str">
        <f t="shared" si="0"/>
        <v/>
      </c>
      <c r="I11" s="24" t="str">
        <f t="shared" si="1"/>
        <v>🌟 Отлично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9.5" customHeight="1" x14ac:dyDescent="0.25">
      <c r="A13" s="15"/>
      <c r="B13" s="101" t="s">
        <v>35</v>
      </c>
      <c r="C13" s="101"/>
      <c r="D13" s="101"/>
      <c r="E13" s="101"/>
      <c r="F13" s="101"/>
      <c r="G13" s="101"/>
      <c r="H13" s="101"/>
      <c r="I13" s="101"/>
      <c r="J13" s="101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21.75" customHeight="1" x14ac:dyDescent="0.25">
      <c r="A14" s="15"/>
      <c r="B14" s="35" t="s">
        <v>20</v>
      </c>
      <c r="C14" s="36" t="s">
        <v>36</v>
      </c>
      <c r="D14" s="36" t="s">
        <v>37</v>
      </c>
      <c r="E14" s="36" t="s">
        <v>38</v>
      </c>
      <c r="F14" s="36" t="s">
        <v>39</v>
      </c>
      <c r="G14" s="36" t="s">
        <v>40</v>
      </c>
      <c r="H14" s="36" t="s">
        <v>41</v>
      </c>
      <c r="I14" s="35" t="s">
        <v>42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9.5" customHeight="1" x14ac:dyDescent="0.25">
      <c r="A15" s="15"/>
      <c r="B15" s="27" t="s">
        <v>28</v>
      </c>
      <c r="C15" s="37">
        <v>2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8">
        <f t="shared" ref="I15:I21" si="2">SUM(C15:H15)</f>
        <v>2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9.5" customHeight="1" x14ac:dyDescent="0.25">
      <c r="A16" s="15"/>
      <c r="B16" s="27" t="s">
        <v>29</v>
      </c>
      <c r="C16" s="37">
        <v>0</v>
      </c>
      <c r="D16" s="37">
        <v>3</v>
      </c>
      <c r="E16" s="37">
        <v>0</v>
      </c>
      <c r="F16" s="37">
        <v>0</v>
      </c>
      <c r="G16" s="37">
        <v>0</v>
      </c>
      <c r="H16" s="37">
        <v>0</v>
      </c>
      <c r="I16" s="38">
        <f t="shared" si="2"/>
        <v>3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9.5" customHeight="1" x14ac:dyDescent="0.25">
      <c r="A17" s="15"/>
      <c r="B17" s="27" t="s">
        <v>30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8">
        <f t="shared" si="2"/>
        <v>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9.5" customHeight="1" x14ac:dyDescent="0.25">
      <c r="A18" s="15"/>
      <c r="B18" s="27" t="s">
        <v>31</v>
      </c>
      <c r="C18" s="37">
        <v>0</v>
      </c>
      <c r="D18" s="37">
        <v>5</v>
      </c>
      <c r="E18" s="37">
        <v>0</v>
      </c>
      <c r="F18" s="37">
        <v>0</v>
      </c>
      <c r="G18" s="37">
        <v>0</v>
      </c>
      <c r="H18" s="37">
        <v>0</v>
      </c>
      <c r="I18" s="38">
        <f t="shared" si="2"/>
        <v>5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9.5" customHeight="1" x14ac:dyDescent="0.25">
      <c r="A19" s="15"/>
      <c r="B19" s="27" t="s">
        <v>32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8">
        <f t="shared" si="2"/>
        <v>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9.5" customHeight="1" x14ac:dyDescent="0.25">
      <c r="A20" s="15"/>
      <c r="B20" s="27" t="s">
        <v>33</v>
      </c>
      <c r="C20" s="37">
        <v>0</v>
      </c>
      <c r="D20" s="37">
        <v>0</v>
      </c>
      <c r="E20" s="37">
        <v>6</v>
      </c>
      <c r="F20" s="37">
        <v>0</v>
      </c>
      <c r="G20" s="37">
        <v>0</v>
      </c>
      <c r="H20" s="37">
        <v>0</v>
      </c>
      <c r="I20" s="38">
        <f t="shared" si="2"/>
        <v>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9.5" customHeight="1" x14ac:dyDescent="0.25">
      <c r="A21" s="15"/>
      <c r="B21" s="27" t="s">
        <v>34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8">
        <f t="shared" si="2"/>
        <v>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3">
    <mergeCell ref="B2:J2"/>
    <mergeCell ref="B3:J3"/>
    <mergeCell ref="B13:J13"/>
  </mergeCells>
  <conditionalFormatting sqref="C5:G11">
    <cfRule type="colorScale" priority="2">
      <colorScale>
        <cfvo type="num" val="1"/>
        <cfvo type="num" val="3"/>
        <cfvo type="num" val="5"/>
        <color rgb="FFFF6B6B"/>
        <color rgb="FFFFE66D"/>
        <color rgb="FF4ECDC4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C4899"/>
  </sheetPr>
  <dimension ref="A1:T50"/>
  <sheetViews>
    <sheetView showGridLines="0" topLeftCell="A15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4" width="12" customWidth="1"/>
    <col min="5" max="5" width="14" customWidth="1"/>
    <col min="6" max="6" width="22" customWidth="1"/>
    <col min="7" max="7" width="14" customWidth="1"/>
  </cols>
  <sheetData>
    <row r="1" spans="1:2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1.5" customHeight="1" x14ac:dyDescent="0.25">
      <c r="A2" s="15"/>
      <c r="B2" s="102" t="s">
        <v>43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5"/>
      <c r="N2" s="15"/>
      <c r="O2" s="15"/>
      <c r="P2" s="15"/>
      <c r="Q2" s="15"/>
      <c r="R2" s="15"/>
      <c r="S2" s="15"/>
      <c r="T2" s="15"/>
    </row>
    <row r="3" spans="1:2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1.75" customHeight="1" x14ac:dyDescent="0.25">
      <c r="A4" s="15"/>
      <c r="B4" s="20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20" t="s">
        <v>27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21.75" customHeight="1" x14ac:dyDescent="0.25">
      <c r="A5" s="15"/>
      <c r="B5" s="39" t="s">
        <v>49</v>
      </c>
      <c r="C5" s="40" t="s">
        <v>50</v>
      </c>
      <c r="D5" s="37"/>
      <c r="E5" s="41">
        <v>40</v>
      </c>
      <c r="F5" s="42" t="str">
        <f t="shared" ref="F5:F14" si="0">IFERROR(REPT("█",E5/10)&amp;REPT("░",10-E5/10),"")</f>
        <v>████░░░░░░</v>
      </c>
      <c r="G5" s="24" t="str">
        <f t="shared" ref="G5:G14" si="1">IFERROR(IF(E5=100,"✅ Готово!",IF(E5&gt;=50,"🔥 Почти!",IF(E5&gt;0,"📈 В процессе","⬜ Не начато"))),"")</f>
        <v>📈 В процессе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21.75" customHeight="1" x14ac:dyDescent="0.25">
      <c r="A6" s="15"/>
      <c r="B6" s="43" t="s">
        <v>51</v>
      </c>
      <c r="C6" s="44" t="s">
        <v>52</v>
      </c>
      <c r="D6" s="37"/>
      <c r="E6" s="41">
        <v>20</v>
      </c>
      <c r="F6" s="42" t="str">
        <f t="shared" si="0"/>
        <v>██░░░░░░░░</v>
      </c>
      <c r="G6" s="28" t="str">
        <f t="shared" si="1"/>
        <v>📈 В процессе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21.75" customHeight="1" x14ac:dyDescent="0.25">
      <c r="A7" s="15"/>
      <c r="B7" s="45" t="s">
        <v>53</v>
      </c>
      <c r="C7" s="46" t="s">
        <v>54</v>
      </c>
      <c r="D7" s="37"/>
      <c r="E7" s="41">
        <v>60</v>
      </c>
      <c r="F7" s="47" t="str">
        <f t="shared" si="0"/>
        <v>██████░░░░</v>
      </c>
      <c r="G7" s="26" t="str">
        <f t="shared" si="1"/>
        <v>🔥 Почти!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21.75" customHeight="1" x14ac:dyDescent="0.25">
      <c r="A8" s="15"/>
      <c r="B8" s="48" t="s">
        <v>55</v>
      </c>
      <c r="C8" s="49" t="s">
        <v>56</v>
      </c>
      <c r="D8" s="37"/>
      <c r="E8" s="41">
        <v>80</v>
      </c>
      <c r="F8" s="47" t="str">
        <f t="shared" si="0"/>
        <v>████████░░</v>
      </c>
      <c r="G8" s="30" t="str">
        <f t="shared" si="1"/>
        <v>🔥 Почти!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21.75" customHeight="1" x14ac:dyDescent="0.25">
      <c r="A9" s="15"/>
      <c r="B9" s="50" t="s">
        <v>57</v>
      </c>
      <c r="C9" s="51" t="s">
        <v>28</v>
      </c>
      <c r="D9" s="37"/>
      <c r="E9" s="52">
        <v>100</v>
      </c>
      <c r="F9" s="53" t="str">
        <f t="shared" si="0"/>
        <v>██████████</v>
      </c>
      <c r="G9" s="34" t="str">
        <f t="shared" si="1"/>
        <v>✅ Готово!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21.75" customHeight="1" x14ac:dyDescent="0.25">
      <c r="A10" s="15"/>
      <c r="B10" s="54" t="s">
        <v>58</v>
      </c>
      <c r="C10" s="55" t="s">
        <v>59</v>
      </c>
      <c r="D10" s="37"/>
      <c r="E10" s="41"/>
      <c r="F10" s="42" t="str">
        <f t="shared" si="0"/>
        <v>░░░░░░░░░░</v>
      </c>
      <c r="G10" s="32" t="str">
        <f t="shared" si="1"/>
        <v>⬜ Не начато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21.75" customHeight="1" x14ac:dyDescent="0.25">
      <c r="A11" s="15"/>
      <c r="B11" s="22"/>
      <c r="C11" s="37"/>
      <c r="D11" s="37"/>
      <c r="E11" s="41"/>
      <c r="F11" s="42" t="str">
        <f t="shared" si="0"/>
        <v>░░░░░░░░░░</v>
      </c>
      <c r="G11" s="56" t="str">
        <f t="shared" si="1"/>
        <v>⬜ Не начато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21.75" customHeight="1" x14ac:dyDescent="0.25">
      <c r="A12" s="15"/>
      <c r="B12" s="22"/>
      <c r="C12" s="37"/>
      <c r="D12" s="37"/>
      <c r="E12" s="41"/>
      <c r="F12" s="42" t="str">
        <f t="shared" si="0"/>
        <v>░░░░░░░░░░</v>
      </c>
      <c r="G12" s="56" t="str">
        <f t="shared" si="1"/>
        <v>⬜ Не начато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21.75" customHeight="1" x14ac:dyDescent="0.25">
      <c r="A13" s="15"/>
      <c r="B13" s="22"/>
      <c r="C13" s="37"/>
      <c r="D13" s="37"/>
      <c r="E13" s="41"/>
      <c r="F13" s="42" t="str">
        <f t="shared" si="0"/>
        <v>░░░░░░░░░░</v>
      </c>
      <c r="G13" s="56" t="str">
        <f t="shared" si="1"/>
        <v>⬜ Не начато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21.75" customHeight="1" x14ac:dyDescent="0.25">
      <c r="A14" s="15"/>
      <c r="B14" s="22"/>
      <c r="C14" s="37"/>
      <c r="D14" s="37"/>
      <c r="E14" s="41"/>
      <c r="F14" s="42" t="str">
        <f t="shared" si="0"/>
        <v>░░░░░░░░░░</v>
      </c>
      <c r="G14" s="56" t="str">
        <f t="shared" si="1"/>
        <v>⬜ Не начато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21.75" customHeight="1" x14ac:dyDescent="0.25">
      <c r="A16" s="15"/>
      <c r="B16" s="103" t="s">
        <v>60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5"/>
      <c r="N16" s="15"/>
      <c r="O16" s="15"/>
      <c r="P16" s="15"/>
      <c r="Q16" s="15"/>
      <c r="R16" s="15"/>
      <c r="S16" s="15"/>
      <c r="T16" s="15"/>
    </row>
    <row r="17" spans="1:2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24" customHeight="1" x14ac:dyDescent="0.25">
      <c r="A18" s="15"/>
      <c r="B18" s="104" t="s">
        <v>61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5"/>
      <c r="N18" s="15"/>
      <c r="O18" s="15"/>
      <c r="P18" s="15"/>
      <c r="Q18" s="15"/>
      <c r="R18" s="15"/>
      <c r="S18" s="15"/>
      <c r="T18" s="15"/>
    </row>
    <row r="19" spans="1:20" ht="18" customHeight="1" x14ac:dyDescent="0.25">
      <c r="A19" s="15"/>
      <c r="B19" s="105" t="s">
        <v>62</v>
      </c>
      <c r="C19" s="105"/>
      <c r="D19" s="105"/>
      <c r="E19" s="106" t="s">
        <v>63</v>
      </c>
      <c r="F19" s="106"/>
      <c r="G19" s="106"/>
      <c r="H19" s="106"/>
      <c r="I19" s="106"/>
      <c r="J19" s="106"/>
      <c r="K19" s="106"/>
      <c r="L19" s="106"/>
      <c r="M19" s="15"/>
      <c r="N19" s="15"/>
      <c r="O19" s="15"/>
      <c r="P19" s="15"/>
      <c r="Q19" s="15"/>
      <c r="R19" s="15"/>
      <c r="S19" s="15"/>
      <c r="T19" s="15"/>
    </row>
    <row r="20" spans="1:20" ht="18" customHeight="1" x14ac:dyDescent="0.25">
      <c r="A20" s="15"/>
      <c r="B20" s="105"/>
      <c r="C20" s="105"/>
      <c r="D20" s="105"/>
      <c r="E20" s="106"/>
      <c r="F20" s="106"/>
      <c r="G20" s="106"/>
      <c r="H20" s="106"/>
      <c r="I20" s="106"/>
      <c r="J20" s="106"/>
      <c r="K20" s="106"/>
      <c r="L20" s="106"/>
      <c r="M20" s="15"/>
      <c r="N20" s="15"/>
      <c r="O20" s="15"/>
      <c r="P20" s="15"/>
      <c r="Q20" s="15"/>
      <c r="R20" s="15"/>
      <c r="S20" s="15"/>
      <c r="T20" s="15"/>
    </row>
    <row r="21" spans="1:20" ht="18" customHeight="1" x14ac:dyDescent="0.25">
      <c r="A21" s="15"/>
      <c r="B21" s="105"/>
      <c r="C21" s="105"/>
      <c r="D21" s="105"/>
      <c r="E21" s="106"/>
      <c r="F21" s="106"/>
      <c r="G21" s="106"/>
      <c r="H21" s="106"/>
      <c r="I21" s="106"/>
      <c r="J21" s="106"/>
      <c r="K21" s="106"/>
      <c r="L21" s="106"/>
      <c r="M21" s="15"/>
      <c r="N21" s="15"/>
      <c r="O21" s="15"/>
      <c r="P21" s="15"/>
      <c r="Q21" s="15"/>
      <c r="R21" s="15"/>
      <c r="S21" s="15"/>
      <c r="T21" s="15"/>
    </row>
    <row r="22" spans="1:20" ht="18" customHeight="1" x14ac:dyDescent="0.25">
      <c r="A22" s="15"/>
      <c r="B22" s="107" t="s">
        <v>64</v>
      </c>
      <c r="C22" s="107"/>
      <c r="D22" s="107"/>
      <c r="E22" s="106" t="s">
        <v>65</v>
      </c>
      <c r="F22" s="106"/>
      <c r="G22" s="106"/>
      <c r="H22" s="106"/>
      <c r="I22" s="106"/>
      <c r="J22" s="106"/>
      <c r="K22" s="106"/>
      <c r="L22" s="106"/>
      <c r="M22" s="15"/>
      <c r="N22" s="15"/>
      <c r="O22" s="15"/>
      <c r="P22" s="15"/>
      <c r="Q22" s="15"/>
      <c r="R22" s="15"/>
      <c r="S22" s="15"/>
      <c r="T22" s="15"/>
    </row>
    <row r="23" spans="1:20" ht="18" customHeight="1" x14ac:dyDescent="0.25">
      <c r="A23" s="15"/>
      <c r="B23" s="107"/>
      <c r="C23" s="107"/>
      <c r="D23" s="107"/>
      <c r="E23" s="106"/>
      <c r="F23" s="106"/>
      <c r="G23" s="106"/>
      <c r="H23" s="106"/>
      <c r="I23" s="106"/>
      <c r="J23" s="106"/>
      <c r="K23" s="106"/>
      <c r="L23" s="106"/>
      <c r="M23" s="15"/>
      <c r="N23" s="15"/>
      <c r="O23" s="15"/>
      <c r="P23" s="15"/>
      <c r="Q23" s="15"/>
      <c r="R23" s="15"/>
      <c r="S23" s="15"/>
      <c r="T23" s="15"/>
    </row>
    <row r="24" spans="1:20" ht="18" customHeight="1" x14ac:dyDescent="0.25">
      <c r="A24" s="15"/>
      <c r="B24" s="107"/>
      <c r="C24" s="107"/>
      <c r="D24" s="107"/>
      <c r="E24" s="106"/>
      <c r="F24" s="106"/>
      <c r="G24" s="106"/>
      <c r="H24" s="106"/>
      <c r="I24" s="106"/>
      <c r="J24" s="106"/>
      <c r="K24" s="106"/>
      <c r="L24" s="106"/>
      <c r="M24" s="15"/>
      <c r="N24" s="15"/>
      <c r="O24" s="15"/>
      <c r="P24" s="15"/>
      <c r="Q24" s="15"/>
      <c r="R24" s="15"/>
      <c r="S24" s="15"/>
      <c r="T24" s="15"/>
    </row>
    <row r="25" spans="1:20" ht="18" customHeight="1" x14ac:dyDescent="0.25">
      <c r="A25" s="15"/>
      <c r="B25" s="108" t="s">
        <v>66</v>
      </c>
      <c r="C25" s="108"/>
      <c r="D25" s="108"/>
      <c r="E25" s="106" t="s">
        <v>67</v>
      </c>
      <c r="F25" s="106"/>
      <c r="G25" s="106"/>
      <c r="H25" s="106"/>
      <c r="I25" s="106"/>
      <c r="J25" s="106"/>
      <c r="K25" s="106"/>
      <c r="L25" s="106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25">
      <c r="A26" s="15"/>
      <c r="B26" s="108"/>
      <c r="C26" s="108"/>
      <c r="D26" s="108"/>
      <c r="E26" s="106"/>
      <c r="F26" s="106"/>
      <c r="G26" s="106"/>
      <c r="H26" s="106"/>
      <c r="I26" s="106"/>
      <c r="J26" s="106"/>
      <c r="K26" s="106"/>
      <c r="L26" s="106"/>
      <c r="M26" s="15"/>
      <c r="N26" s="15"/>
      <c r="O26" s="15"/>
      <c r="P26" s="15"/>
      <c r="Q26" s="15"/>
      <c r="R26" s="15"/>
      <c r="S26" s="15"/>
      <c r="T26" s="15"/>
    </row>
    <row r="27" spans="1:20" ht="18" customHeight="1" x14ac:dyDescent="0.25">
      <c r="A27" s="15"/>
      <c r="B27" s="108"/>
      <c r="C27" s="108"/>
      <c r="D27" s="108"/>
      <c r="E27" s="106"/>
      <c r="F27" s="106"/>
      <c r="G27" s="106"/>
      <c r="H27" s="106"/>
      <c r="I27" s="106"/>
      <c r="J27" s="106"/>
      <c r="K27" s="106"/>
      <c r="L27" s="106"/>
      <c r="M27" s="15"/>
      <c r="N27" s="15"/>
      <c r="O27" s="15"/>
      <c r="P27" s="15"/>
      <c r="Q27" s="15"/>
      <c r="R27" s="15"/>
      <c r="S27" s="15"/>
      <c r="T27" s="15"/>
    </row>
    <row r="28" spans="1:2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9">
    <mergeCell ref="B22:D24"/>
    <mergeCell ref="E22:L24"/>
    <mergeCell ref="B25:D27"/>
    <mergeCell ref="E25:L27"/>
    <mergeCell ref="B2:L2"/>
    <mergeCell ref="B16:L16"/>
    <mergeCell ref="B18:L18"/>
    <mergeCell ref="B19:D21"/>
    <mergeCell ref="E19:L21"/>
  </mergeCells>
  <conditionalFormatting sqref="E5:E14">
    <cfRule type="dataBar" priority="2">
      <dataBar>
        <cfvo type="num" val="0"/>
        <cfvo type="num" val="100"/>
        <color rgb="FFEC4899"/>
      </dataBar>
      <extLst>
        <ext xmlns:x14="http://schemas.microsoft.com/office/spreadsheetml/2009/9/main" uri="{B025F937-C7B1-47D3-B67F-A62EFF666E3E}">
          <x14:id>{AABC22F0-807D-44FF-8810-DE98A03DF45D}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C22F0-807D-44FF-8810-DE98A03DF45D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EC4899"/>
            </x14:dataBar>
          </x14:cfRule>
          <xm:sqref>E5:E14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</sheetPr>
  <dimension ref="A1:AN5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33" width="4" customWidth="1"/>
    <col min="34" max="35" width="9" customWidth="1"/>
  </cols>
  <sheetData>
    <row r="1" spans="1:4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ht="31.5" customHeight="1" x14ac:dyDescent="0.25">
      <c r="A2" s="15"/>
      <c r="B2" s="109" t="s">
        <v>68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5"/>
      <c r="AH2" s="15"/>
      <c r="AI2" s="15"/>
      <c r="AJ2" s="15"/>
      <c r="AK2" s="15"/>
      <c r="AL2" s="15"/>
      <c r="AM2" s="15"/>
      <c r="AN2" s="15"/>
    </row>
    <row r="3" spans="1:4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0" ht="21.75" customHeight="1" x14ac:dyDescent="0.25">
      <c r="A4" s="15"/>
      <c r="B4" s="57" t="s">
        <v>69</v>
      </c>
      <c r="C4" s="58">
        <v>1</v>
      </c>
      <c r="D4" s="58">
        <v>2</v>
      </c>
      <c r="E4" s="58">
        <v>3</v>
      </c>
      <c r="F4" s="58">
        <v>4</v>
      </c>
      <c r="G4" s="58">
        <v>5</v>
      </c>
      <c r="H4" s="59">
        <v>6</v>
      </c>
      <c r="I4" s="59">
        <v>7</v>
      </c>
      <c r="J4" s="58">
        <v>8</v>
      </c>
      <c r="K4" s="58">
        <v>9</v>
      </c>
      <c r="L4" s="58">
        <v>10</v>
      </c>
      <c r="M4" s="58">
        <v>11</v>
      </c>
      <c r="N4" s="58">
        <v>12</v>
      </c>
      <c r="O4" s="59">
        <v>13</v>
      </c>
      <c r="P4" s="59">
        <v>14</v>
      </c>
      <c r="Q4" s="58">
        <v>15</v>
      </c>
      <c r="R4" s="58">
        <v>16</v>
      </c>
      <c r="S4" s="58">
        <v>17</v>
      </c>
      <c r="T4" s="58">
        <v>18</v>
      </c>
      <c r="U4" s="58">
        <v>19</v>
      </c>
      <c r="V4" s="59">
        <v>20</v>
      </c>
      <c r="W4" s="59">
        <v>21</v>
      </c>
      <c r="X4" s="58">
        <v>22</v>
      </c>
      <c r="Y4" s="58">
        <v>23</v>
      </c>
      <c r="Z4" s="58">
        <v>24</v>
      </c>
      <c r="AA4" s="58">
        <v>25</v>
      </c>
      <c r="AB4" s="58">
        <v>26</v>
      </c>
      <c r="AC4" s="59">
        <v>27</v>
      </c>
      <c r="AD4" s="59">
        <v>28</v>
      </c>
      <c r="AE4" s="58">
        <v>29</v>
      </c>
      <c r="AF4" s="58">
        <v>30</v>
      </c>
      <c r="AG4" s="58">
        <v>31</v>
      </c>
      <c r="AH4" s="57" t="s">
        <v>70</v>
      </c>
      <c r="AI4" s="57" t="s">
        <v>71</v>
      </c>
      <c r="AJ4" s="15"/>
      <c r="AK4" s="15"/>
      <c r="AL4" s="15"/>
      <c r="AM4" s="15"/>
      <c r="AN4" s="15"/>
    </row>
    <row r="5" spans="1:40" ht="19.5" customHeight="1" x14ac:dyDescent="0.25">
      <c r="A5" s="15"/>
      <c r="B5" s="27" t="s">
        <v>72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1">
        <f t="shared" ref="AH5:AH16" si="0">COUNTIF(C5:AG5,"✓")+COUNTIF(C5:AG5,"+")+COUNTIF(C5:AG5,"1")</f>
        <v>0</v>
      </c>
      <c r="AI5" s="62">
        <f t="shared" ref="AI5:AI16" si="1">IFERROR(AH5/31,0)</f>
        <v>0</v>
      </c>
      <c r="AJ5" s="15"/>
      <c r="AK5" s="15"/>
      <c r="AL5" s="15"/>
      <c r="AM5" s="15"/>
      <c r="AN5" s="15"/>
    </row>
    <row r="6" spans="1:40" ht="19.5" customHeight="1" x14ac:dyDescent="0.25">
      <c r="A6" s="15"/>
      <c r="B6" s="27" t="s">
        <v>73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1">
        <f t="shared" si="0"/>
        <v>0</v>
      </c>
      <c r="AI6" s="62">
        <f t="shared" si="1"/>
        <v>0</v>
      </c>
      <c r="AJ6" s="15"/>
      <c r="AK6" s="15"/>
      <c r="AL6" s="15"/>
      <c r="AM6" s="15"/>
      <c r="AN6" s="15"/>
    </row>
    <row r="7" spans="1:40" ht="19.5" customHeight="1" x14ac:dyDescent="0.25">
      <c r="A7" s="15"/>
      <c r="B7" s="29" t="s">
        <v>74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3">
        <f t="shared" si="0"/>
        <v>0</v>
      </c>
      <c r="AI7" s="64">
        <f t="shared" si="1"/>
        <v>0</v>
      </c>
      <c r="AJ7" s="15"/>
      <c r="AK7" s="15"/>
      <c r="AL7" s="15"/>
      <c r="AM7" s="15"/>
      <c r="AN7" s="15"/>
    </row>
    <row r="8" spans="1:40" ht="19.5" customHeight="1" x14ac:dyDescent="0.25">
      <c r="A8" s="15"/>
      <c r="B8" s="21" t="s">
        <v>75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5">
        <f t="shared" si="0"/>
        <v>0</v>
      </c>
      <c r="AI8" s="66">
        <f t="shared" si="1"/>
        <v>0</v>
      </c>
      <c r="AJ8" s="15"/>
      <c r="AK8" s="15"/>
      <c r="AL8" s="15"/>
      <c r="AM8" s="15"/>
      <c r="AN8" s="15"/>
    </row>
    <row r="9" spans="1:40" ht="19.5" customHeight="1" x14ac:dyDescent="0.25">
      <c r="A9" s="15"/>
      <c r="B9" s="33" t="s">
        <v>76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7">
        <f t="shared" si="0"/>
        <v>0</v>
      </c>
      <c r="AI9" s="68">
        <f t="shared" si="1"/>
        <v>0</v>
      </c>
      <c r="AJ9" s="15"/>
      <c r="AK9" s="15"/>
      <c r="AL9" s="15"/>
      <c r="AM9" s="15"/>
      <c r="AN9" s="15"/>
    </row>
    <row r="10" spans="1:40" ht="19.5" customHeight="1" x14ac:dyDescent="0.25">
      <c r="A10" s="15"/>
      <c r="B10" s="25" t="s">
        <v>77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9">
        <f t="shared" si="0"/>
        <v>0</v>
      </c>
      <c r="AI10" s="70">
        <f t="shared" si="1"/>
        <v>0</v>
      </c>
      <c r="AJ10" s="15"/>
      <c r="AK10" s="15"/>
      <c r="AL10" s="15"/>
      <c r="AM10" s="15"/>
      <c r="AN10" s="15"/>
    </row>
    <row r="11" spans="1:40" ht="19.5" customHeight="1" x14ac:dyDescent="0.25">
      <c r="A11" s="15"/>
      <c r="B11" s="31" t="s">
        <v>78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71">
        <f t="shared" si="0"/>
        <v>0</v>
      </c>
      <c r="AI11" s="72">
        <f t="shared" si="1"/>
        <v>0</v>
      </c>
      <c r="AJ11" s="15"/>
      <c r="AK11" s="15"/>
      <c r="AL11" s="15"/>
      <c r="AM11" s="15"/>
      <c r="AN11" s="15"/>
    </row>
    <row r="12" spans="1:40" ht="19.5" customHeight="1" x14ac:dyDescent="0.25">
      <c r="A12" s="15"/>
      <c r="B12" s="29" t="s">
        <v>79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3">
        <f t="shared" si="0"/>
        <v>0</v>
      </c>
      <c r="AI12" s="64">
        <f t="shared" si="1"/>
        <v>0</v>
      </c>
      <c r="AJ12" s="15"/>
      <c r="AK12" s="15"/>
      <c r="AL12" s="15"/>
      <c r="AM12" s="15"/>
      <c r="AN12" s="15"/>
    </row>
    <row r="13" spans="1:40" ht="19.5" customHeight="1" x14ac:dyDescent="0.25">
      <c r="A13" s="15"/>
      <c r="B13" s="25" t="s">
        <v>80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9">
        <f t="shared" si="0"/>
        <v>0</v>
      </c>
      <c r="AI13" s="70">
        <f t="shared" si="1"/>
        <v>0</v>
      </c>
      <c r="AJ13" s="15"/>
      <c r="AK13" s="15"/>
      <c r="AL13" s="15"/>
      <c r="AM13" s="15"/>
      <c r="AN13" s="15"/>
    </row>
    <row r="14" spans="1:40" ht="19.5" customHeight="1" x14ac:dyDescent="0.25">
      <c r="A14" s="15"/>
      <c r="B14" s="21" t="s">
        <v>81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5">
        <f t="shared" si="0"/>
        <v>0</v>
      </c>
      <c r="AI14" s="66">
        <f t="shared" si="1"/>
        <v>0</v>
      </c>
      <c r="AJ14" s="15"/>
      <c r="AK14" s="15"/>
      <c r="AL14" s="15"/>
      <c r="AM14" s="15"/>
      <c r="AN14" s="15"/>
    </row>
    <row r="15" spans="1:40" ht="19.5" customHeight="1" x14ac:dyDescent="0.25">
      <c r="A15" s="15"/>
      <c r="B15" s="33" t="s">
        <v>82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7">
        <f t="shared" si="0"/>
        <v>0</v>
      </c>
      <c r="AI15" s="68">
        <f t="shared" si="1"/>
        <v>0</v>
      </c>
      <c r="AJ15" s="15"/>
      <c r="AK15" s="15"/>
      <c r="AL15" s="15"/>
      <c r="AM15" s="15"/>
      <c r="AN15" s="15"/>
    </row>
    <row r="16" spans="1:40" ht="19.5" customHeight="1" x14ac:dyDescent="0.25">
      <c r="A16" s="15"/>
      <c r="B16" s="27" t="s">
        <v>83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1">
        <f t="shared" si="0"/>
        <v>0</v>
      </c>
      <c r="AI16" s="62">
        <f t="shared" si="1"/>
        <v>0</v>
      </c>
      <c r="AJ16" s="15"/>
      <c r="AK16" s="15"/>
      <c r="AL16" s="15"/>
      <c r="AM16" s="15"/>
      <c r="AN16" s="15"/>
    </row>
    <row r="17" spans="1:4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21.75" customHeight="1" x14ac:dyDescent="0.25">
      <c r="A18" s="15"/>
      <c r="B18" s="110" t="s">
        <v>84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5"/>
      <c r="AH18" s="15"/>
      <c r="AI18" s="15"/>
      <c r="AJ18" s="15"/>
      <c r="AK18" s="15"/>
      <c r="AL18" s="15"/>
      <c r="AM18" s="15"/>
      <c r="AN18" s="15"/>
    </row>
    <row r="19" spans="1:4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21.75" customHeight="1" x14ac:dyDescent="0.25">
      <c r="A20" s="15"/>
      <c r="B20" s="111" t="s">
        <v>85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19.5" customHeight="1" x14ac:dyDescent="0.25">
      <c r="A21" s="15"/>
      <c r="B21" s="112" t="s">
        <v>86</v>
      </c>
      <c r="C21" s="112"/>
      <c r="D21" s="112"/>
      <c r="E21" s="112"/>
      <c r="F21" s="113"/>
      <c r="G21" s="113"/>
      <c r="H21" s="113"/>
      <c r="I21" s="113"/>
      <c r="J21" s="113"/>
      <c r="K21" s="113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19.5" customHeight="1" x14ac:dyDescent="0.25">
      <c r="A22" s="15"/>
      <c r="B22" s="112" t="s">
        <v>87</v>
      </c>
      <c r="C22" s="112"/>
      <c r="D22" s="112"/>
      <c r="E22" s="112"/>
      <c r="F22" s="113"/>
      <c r="G22" s="113"/>
      <c r="H22" s="113"/>
      <c r="I22" s="113"/>
      <c r="J22" s="113"/>
      <c r="K22" s="113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19.5" customHeight="1" x14ac:dyDescent="0.25">
      <c r="A23" s="15"/>
      <c r="B23" s="112" t="s">
        <v>88</v>
      </c>
      <c r="C23" s="112"/>
      <c r="D23" s="112"/>
      <c r="E23" s="112"/>
      <c r="F23" s="113"/>
      <c r="G23" s="113"/>
      <c r="H23" s="113"/>
      <c r="I23" s="113"/>
      <c r="J23" s="113"/>
      <c r="K23" s="113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1:40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1:40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</sheetData>
  <mergeCells count="9">
    <mergeCell ref="B22:E22"/>
    <mergeCell ref="F22:K22"/>
    <mergeCell ref="B23:E23"/>
    <mergeCell ref="F23:K23"/>
    <mergeCell ref="B2:AF2"/>
    <mergeCell ref="B18:AF18"/>
    <mergeCell ref="B20:K20"/>
    <mergeCell ref="B21:E21"/>
    <mergeCell ref="F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</sheetPr>
  <dimension ref="A1:T50"/>
  <sheetViews>
    <sheetView showGridLines="0" tabSelected="1" zoomScaleNormal="100" workbookViewId="0"/>
  </sheetViews>
  <sheetFormatPr defaultColWidth="8.7109375" defaultRowHeight="15" x14ac:dyDescent="0.25"/>
  <cols>
    <col min="1" max="1" width="2" customWidth="1"/>
    <col min="2" max="2" width="12" customWidth="1"/>
    <col min="3" max="3" width="18" customWidth="1"/>
    <col min="4" max="5" width="10" customWidth="1"/>
    <col min="6" max="6" width="14" customWidth="1"/>
    <col min="7" max="7" width="18" customWidth="1"/>
  </cols>
  <sheetData>
    <row r="1" spans="1:2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1.5" customHeight="1" x14ac:dyDescent="0.25">
      <c r="A2" s="15"/>
      <c r="B2" s="114" t="s">
        <v>89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5"/>
      <c r="N2" s="15"/>
      <c r="O2" s="15"/>
      <c r="P2" s="15"/>
      <c r="Q2" s="15"/>
      <c r="R2" s="15"/>
      <c r="S2" s="15"/>
      <c r="T2" s="15"/>
    </row>
    <row r="3" spans="1:20" ht="19.5" customHeight="1" x14ac:dyDescent="0.25">
      <c r="A3" s="15"/>
      <c r="B3" s="115" t="s">
        <v>90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5"/>
      <c r="N3" s="15"/>
      <c r="O3" s="15"/>
      <c r="P3" s="15"/>
      <c r="Q3" s="15"/>
      <c r="R3" s="15"/>
      <c r="S3" s="15"/>
      <c r="T3" s="15"/>
    </row>
    <row r="4" spans="1:20" ht="21.75" customHeight="1" x14ac:dyDescent="0.25">
      <c r="A4" s="15"/>
      <c r="B4" s="73" t="s">
        <v>91</v>
      </c>
      <c r="C4" s="73" t="s">
        <v>92</v>
      </c>
      <c r="D4" s="73" t="s">
        <v>93</v>
      </c>
      <c r="E4" s="73" t="s">
        <v>94</v>
      </c>
      <c r="F4" s="73" t="s">
        <v>95</v>
      </c>
      <c r="G4" s="73" t="s">
        <v>96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9.5" customHeight="1" x14ac:dyDescent="0.25">
      <c r="A5" s="15"/>
      <c r="B5" s="22"/>
      <c r="C5" s="48" t="s">
        <v>97</v>
      </c>
      <c r="D5" s="37">
        <v>30</v>
      </c>
      <c r="E5" s="37">
        <v>3000</v>
      </c>
      <c r="F5" s="37" t="s">
        <v>98</v>
      </c>
      <c r="G5" s="2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9.5" customHeight="1" x14ac:dyDescent="0.25">
      <c r="A6" s="15"/>
      <c r="B6" s="22"/>
      <c r="C6" s="48" t="s">
        <v>99</v>
      </c>
      <c r="D6" s="37">
        <v>60</v>
      </c>
      <c r="E6" s="37">
        <v>5000</v>
      </c>
      <c r="F6" s="37" t="s">
        <v>98</v>
      </c>
      <c r="G6" s="2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19.5" customHeight="1" x14ac:dyDescent="0.25">
      <c r="A7" s="15"/>
      <c r="B7" s="22"/>
      <c r="C7" s="48" t="s">
        <v>100</v>
      </c>
      <c r="D7" s="37">
        <v>45</v>
      </c>
      <c r="E7" s="37">
        <v>1500</v>
      </c>
      <c r="F7" s="37" t="s">
        <v>98</v>
      </c>
      <c r="G7" s="2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19.5" customHeight="1" x14ac:dyDescent="0.25">
      <c r="A8" s="15"/>
      <c r="B8" s="22"/>
      <c r="C8" s="48" t="s">
        <v>101</v>
      </c>
      <c r="D8" s="37">
        <v>40</v>
      </c>
      <c r="E8" s="37">
        <v>4000</v>
      </c>
      <c r="F8" s="37" t="s">
        <v>98</v>
      </c>
      <c r="G8" s="2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19.5" customHeight="1" x14ac:dyDescent="0.25">
      <c r="A9" s="15"/>
      <c r="B9" s="22"/>
      <c r="C9" s="48" t="s">
        <v>102</v>
      </c>
      <c r="D9" s="37">
        <v>50</v>
      </c>
      <c r="E9" s="37">
        <v>4500</v>
      </c>
      <c r="F9" s="37" t="s">
        <v>98</v>
      </c>
      <c r="G9" s="2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9.5" customHeight="1" x14ac:dyDescent="0.25">
      <c r="A10" s="15"/>
      <c r="B10" s="22"/>
      <c r="C10" s="48" t="s">
        <v>103</v>
      </c>
      <c r="D10" s="37">
        <v>20</v>
      </c>
      <c r="E10" s="37">
        <v>800</v>
      </c>
      <c r="F10" s="37" t="s">
        <v>98</v>
      </c>
      <c r="G10" s="2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9.5" customHeight="1" x14ac:dyDescent="0.25">
      <c r="A11" s="15"/>
      <c r="B11" s="22"/>
      <c r="C11" s="48" t="s">
        <v>104</v>
      </c>
      <c r="D11" s="37">
        <v>35</v>
      </c>
      <c r="E11" s="37">
        <v>3500</v>
      </c>
      <c r="F11" s="37" t="s">
        <v>98</v>
      </c>
      <c r="G11" s="2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9.5" customHeight="1" x14ac:dyDescent="0.25">
      <c r="A12" s="15"/>
      <c r="B12" s="22"/>
      <c r="C12" s="48" t="s">
        <v>105</v>
      </c>
      <c r="D12" s="37">
        <v>30</v>
      </c>
      <c r="E12" s="37">
        <v>500</v>
      </c>
      <c r="F12" s="37" t="s">
        <v>98</v>
      </c>
      <c r="G12" s="2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9.5" customHeight="1" x14ac:dyDescent="0.25">
      <c r="A13" s="15"/>
      <c r="B13" s="22"/>
      <c r="C13" s="48" t="s">
        <v>106</v>
      </c>
      <c r="D13" s="37">
        <v>40</v>
      </c>
      <c r="E13" s="37">
        <v>2000</v>
      </c>
      <c r="F13" s="37" t="s">
        <v>98</v>
      </c>
      <c r="G13" s="2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9.5" customHeight="1" x14ac:dyDescent="0.25">
      <c r="A14" s="15"/>
      <c r="B14" s="22"/>
      <c r="C14" s="48" t="s">
        <v>107</v>
      </c>
      <c r="D14" s="37">
        <v>15</v>
      </c>
      <c r="E14" s="37">
        <v>2000</v>
      </c>
      <c r="F14" s="37" t="s">
        <v>98</v>
      </c>
      <c r="G14" s="2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9.5" customHeight="1" x14ac:dyDescent="0.25">
      <c r="A15" s="15"/>
      <c r="B15" s="22"/>
      <c r="C15" s="22"/>
      <c r="D15" s="37"/>
      <c r="E15" s="37"/>
      <c r="F15" s="37"/>
      <c r="G15" s="2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9.5" customHeight="1" x14ac:dyDescent="0.25">
      <c r="A16" s="15"/>
      <c r="B16" s="22"/>
      <c r="C16" s="22"/>
      <c r="D16" s="37"/>
      <c r="E16" s="37"/>
      <c r="F16" s="37"/>
      <c r="G16" s="2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9.5" customHeight="1" x14ac:dyDescent="0.25">
      <c r="A17" s="15"/>
      <c r="B17" s="22"/>
      <c r="C17" s="22"/>
      <c r="D17" s="37"/>
      <c r="E17" s="37"/>
      <c r="F17" s="37"/>
      <c r="G17" s="2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9.5" customHeight="1" x14ac:dyDescent="0.25">
      <c r="A18" s="15"/>
      <c r="B18" s="22"/>
      <c r="C18" s="22"/>
      <c r="D18" s="37"/>
      <c r="E18" s="37"/>
      <c r="F18" s="37"/>
      <c r="G18" s="2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9.5" customHeight="1" x14ac:dyDescent="0.25">
      <c r="A19" s="15"/>
      <c r="B19" s="22"/>
      <c r="C19" s="22"/>
      <c r="D19" s="37"/>
      <c r="E19" s="37"/>
      <c r="F19" s="37"/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21.75" customHeight="1" x14ac:dyDescent="0.25">
      <c r="A20" s="15"/>
      <c r="B20" s="116" t="s">
        <v>108</v>
      </c>
      <c r="C20" s="116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1.75" customHeight="1" x14ac:dyDescent="0.25">
      <c r="A21" s="15"/>
      <c r="B21" s="29" t="s">
        <v>109</v>
      </c>
      <c r="C21" s="74">
        <f>COUNTA(C5:C19)</f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21.75" customHeight="1" x14ac:dyDescent="0.25">
      <c r="A22" s="15"/>
      <c r="B22" s="29" t="s">
        <v>110</v>
      </c>
      <c r="C22" s="74">
        <f>SUM(D5:D19)</f>
        <v>365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21.75" customHeight="1" x14ac:dyDescent="0.25">
      <c r="A23" s="15"/>
      <c r="B23" s="29" t="s">
        <v>111</v>
      </c>
      <c r="C23" s="74">
        <f>SUM(E5:E19)</f>
        <v>26800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3">
    <mergeCell ref="B2:L2"/>
    <mergeCell ref="B3:L3"/>
    <mergeCell ref="B20:C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6B6D4"/>
  </sheetPr>
  <dimension ref="A1:R5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8" customWidth="1"/>
    <col min="3" max="3" width="18" customWidth="1"/>
    <col min="4" max="4" width="14" customWidth="1"/>
    <col min="5" max="5" width="7" customWidth="1"/>
    <col min="6" max="6" width="9" customWidth="1"/>
    <col min="7" max="7" width="11" customWidth="1"/>
    <col min="8" max="8" width="9" customWidth="1"/>
    <col min="9" max="9" width="20" customWidth="1"/>
  </cols>
  <sheetData>
    <row r="1" spans="1:18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31.5" customHeight="1" x14ac:dyDescent="0.25">
      <c r="A2" s="15"/>
      <c r="B2" s="117" t="s">
        <v>112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5"/>
      <c r="N2" s="15"/>
      <c r="O2" s="15"/>
      <c r="P2" s="15"/>
      <c r="Q2" s="15"/>
      <c r="R2" s="15"/>
    </row>
    <row r="3" spans="1:18" ht="21.75" customHeight="1" x14ac:dyDescent="0.25">
      <c r="A3" s="15"/>
      <c r="B3" s="118" t="s">
        <v>113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75">
        <v>12</v>
      </c>
      <c r="N3" s="15"/>
      <c r="O3" s="15"/>
      <c r="P3" s="15"/>
      <c r="Q3" s="15"/>
      <c r="R3" s="15"/>
    </row>
    <row r="4" spans="1:18" ht="21.75" customHeight="1" x14ac:dyDescent="0.25">
      <c r="A4" s="15"/>
      <c r="B4" s="101" t="str">
        <f>IFERROR("📚 Прочитано: "&amp;COUNTA(B6:B25)&amp;" из "&amp;M3&amp;" книг  "&amp; REPT("⭐",MIN(COUNTA(B6:B25),10)),"")</f>
        <v>📚 Прочитано: 5 из 12 книг  ⭐⭐⭐⭐⭐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5"/>
      <c r="N4" s="15"/>
      <c r="O4" s="15"/>
      <c r="P4" s="15"/>
      <c r="Q4" s="15"/>
      <c r="R4" s="15"/>
    </row>
    <row r="5" spans="1:18" ht="21.75" customHeight="1" x14ac:dyDescent="0.25">
      <c r="A5" s="15"/>
      <c r="B5" s="76" t="s">
        <v>114</v>
      </c>
      <c r="C5" s="76" t="s">
        <v>115</v>
      </c>
      <c r="D5" s="76" t="s">
        <v>116</v>
      </c>
      <c r="E5" s="76" t="s">
        <v>117</v>
      </c>
      <c r="F5" s="76" t="s">
        <v>118</v>
      </c>
      <c r="G5" s="76" t="s">
        <v>119</v>
      </c>
      <c r="H5" s="76" t="s">
        <v>120</v>
      </c>
      <c r="I5" s="76" t="s">
        <v>121</v>
      </c>
      <c r="J5" s="15"/>
      <c r="K5" s="15"/>
      <c r="L5" s="15"/>
      <c r="M5" s="15"/>
      <c r="N5" s="15"/>
      <c r="O5" s="15"/>
      <c r="P5" s="15"/>
      <c r="Q5" s="15"/>
      <c r="R5" s="15"/>
    </row>
    <row r="6" spans="1:18" ht="19.5" customHeight="1" x14ac:dyDescent="0.25">
      <c r="A6" s="15"/>
      <c r="B6" s="21" t="s">
        <v>122</v>
      </c>
      <c r="C6" s="39" t="s">
        <v>123</v>
      </c>
      <c r="D6" s="40" t="s">
        <v>124</v>
      </c>
      <c r="E6" s="37">
        <v>309</v>
      </c>
      <c r="F6" s="37" t="s">
        <v>125</v>
      </c>
      <c r="G6" s="37" t="s">
        <v>126</v>
      </c>
      <c r="H6" s="77">
        <v>5</v>
      </c>
      <c r="I6" s="78" t="str">
        <f>IFERROR(REPT("⭐",H6),"")</f>
        <v>⭐⭐⭐⭐⭐</v>
      </c>
      <c r="J6" s="15"/>
      <c r="K6" s="15"/>
      <c r="L6" s="15"/>
      <c r="M6" s="15"/>
      <c r="N6" s="15"/>
      <c r="O6" s="15"/>
      <c r="P6" s="15"/>
      <c r="Q6" s="15"/>
      <c r="R6" s="15"/>
    </row>
    <row r="7" spans="1:18" ht="19.5" customHeight="1" x14ac:dyDescent="0.25">
      <c r="A7" s="15"/>
      <c r="B7" s="31" t="s">
        <v>127</v>
      </c>
      <c r="C7" s="54" t="s">
        <v>128</v>
      </c>
      <c r="D7" s="55" t="s">
        <v>129</v>
      </c>
      <c r="E7" s="37">
        <v>96</v>
      </c>
      <c r="F7" s="37" t="s">
        <v>130</v>
      </c>
      <c r="G7" s="37" t="s">
        <v>131</v>
      </c>
      <c r="H7" s="77">
        <v>5</v>
      </c>
      <c r="I7" s="78" t="str">
        <f>IFERROR(REPT("⭐",H7),"")</f>
        <v>⭐⭐⭐⭐⭐</v>
      </c>
      <c r="J7" s="15"/>
      <c r="K7" s="15"/>
      <c r="L7" s="15"/>
      <c r="M7" s="15"/>
      <c r="N7" s="15"/>
      <c r="O7" s="15"/>
      <c r="P7" s="15"/>
      <c r="Q7" s="15"/>
      <c r="R7" s="15"/>
    </row>
    <row r="8" spans="1:18" ht="19.5" customHeight="1" x14ac:dyDescent="0.25">
      <c r="A8" s="15"/>
      <c r="B8" s="21" t="s">
        <v>132</v>
      </c>
      <c r="C8" s="39" t="s">
        <v>133</v>
      </c>
      <c r="D8" s="40" t="s">
        <v>124</v>
      </c>
      <c r="E8" s="37">
        <v>310</v>
      </c>
      <c r="F8" s="37" t="s">
        <v>134</v>
      </c>
      <c r="G8" s="37" t="s">
        <v>135</v>
      </c>
      <c r="H8" s="77">
        <v>5</v>
      </c>
      <c r="I8" s="78" t="str">
        <f>IFERROR(REPT("⭐",H8),"")</f>
        <v>⭐⭐⭐⭐⭐</v>
      </c>
      <c r="J8" s="15"/>
      <c r="K8" s="15"/>
      <c r="L8" s="15"/>
      <c r="M8" s="15"/>
      <c r="N8" s="15"/>
      <c r="O8" s="15"/>
      <c r="P8" s="15"/>
      <c r="Q8" s="15"/>
      <c r="R8" s="15"/>
    </row>
    <row r="9" spans="1:18" ht="19.5" customHeight="1" x14ac:dyDescent="0.25">
      <c r="A9" s="15"/>
      <c r="B9" s="29" t="s">
        <v>136</v>
      </c>
      <c r="C9" s="48" t="s">
        <v>137</v>
      </c>
      <c r="D9" s="49" t="s">
        <v>138</v>
      </c>
      <c r="E9" s="37">
        <v>275</v>
      </c>
      <c r="F9" s="37" t="s">
        <v>139</v>
      </c>
      <c r="G9" s="37" t="s">
        <v>140</v>
      </c>
      <c r="H9" s="77">
        <v>4</v>
      </c>
      <c r="I9" s="78" t="str">
        <f>IFERROR(REPT("⭐",H9),"")</f>
        <v>⭐⭐⭐⭐</v>
      </c>
      <c r="J9" s="15"/>
      <c r="K9" s="15"/>
      <c r="L9" s="15"/>
      <c r="M9" s="15"/>
      <c r="N9" s="15"/>
      <c r="O9" s="15"/>
      <c r="P9" s="15"/>
      <c r="Q9" s="15"/>
      <c r="R9" s="15"/>
    </row>
    <row r="10" spans="1:18" ht="19.5" customHeight="1" x14ac:dyDescent="0.25">
      <c r="A10" s="15"/>
      <c r="B10" s="21" t="s">
        <v>141</v>
      </c>
      <c r="C10" s="39" t="s">
        <v>142</v>
      </c>
      <c r="D10" s="40" t="s">
        <v>124</v>
      </c>
      <c r="E10" s="37">
        <v>180</v>
      </c>
      <c r="F10" s="37" t="s">
        <v>143</v>
      </c>
      <c r="G10" s="37" t="s">
        <v>144</v>
      </c>
      <c r="H10" s="77">
        <v>4</v>
      </c>
      <c r="I10" s="78" t="str">
        <f>IFERROR(REPT("⭐",H10),"")</f>
        <v>⭐⭐⭐⭐</v>
      </c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9.5" customHeight="1" x14ac:dyDescent="0.25">
      <c r="A11" s="15"/>
      <c r="B11" s="22"/>
      <c r="C11" s="22"/>
      <c r="D11" s="22"/>
      <c r="E11" s="22"/>
      <c r="F11" s="22"/>
      <c r="G11" s="22"/>
      <c r="H11" s="22"/>
      <c r="I11" s="22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19.5" customHeight="1" x14ac:dyDescent="0.25">
      <c r="A12" s="15"/>
      <c r="B12" s="22"/>
      <c r="C12" s="22"/>
      <c r="D12" s="22"/>
      <c r="E12" s="22"/>
      <c r="F12" s="22"/>
      <c r="G12" s="22"/>
      <c r="H12" s="22"/>
      <c r="I12" s="22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9.5" customHeight="1" x14ac:dyDescent="0.25">
      <c r="A13" s="15"/>
      <c r="B13" s="22"/>
      <c r="C13" s="22"/>
      <c r="D13" s="22"/>
      <c r="E13" s="22"/>
      <c r="F13" s="22"/>
      <c r="G13" s="22"/>
      <c r="H13" s="22"/>
      <c r="I13" s="22"/>
      <c r="J13" s="15"/>
      <c r="K13" s="15"/>
      <c r="L13" s="15"/>
      <c r="M13" s="15"/>
      <c r="N13" s="15"/>
      <c r="O13" s="15"/>
      <c r="P13" s="15"/>
      <c r="Q13" s="15"/>
      <c r="R13" s="15"/>
    </row>
    <row r="14" spans="1:18" ht="19.5" customHeight="1" x14ac:dyDescent="0.25">
      <c r="A14" s="15"/>
      <c r="B14" s="22"/>
      <c r="C14" s="22"/>
      <c r="D14" s="22"/>
      <c r="E14" s="22"/>
      <c r="F14" s="22"/>
      <c r="G14" s="22"/>
      <c r="H14" s="22"/>
      <c r="I14" s="22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9.5" customHeight="1" x14ac:dyDescent="0.25">
      <c r="A15" s="15"/>
      <c r="B15" s="22"/>
      <c r="C15" s="22"/>
      <c r="D15" s="22"/>
      <c r="E15" s="22"/>
      <c r="F15" s="22"/>
      <c r="G15" s="22"/>
      <c r="H15" s="22"/>
      <c r="I15" s="22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9.5" customHeight="1" x14ac:dyDescent="0.25">
      <c r="A16" s="15"/>
      <c r="B16" s="22"/>
      <c r="C16" s="22"/>
      <c r="D16" s="22"/>
      <c r="E16" s="22"/>
      <c r="F16" s="22"/>
      <c r="G16" s="22"/>
      <c r="H16" s="22"/>
      <c r="I16" s="22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9.5" customHeight="1" x14ac:dyDescent="0.25">
      <c r="A17" s="15"/>
      <c r="B17" s="22"/>
      <c r="C17" s="22"/>
      <c r="D17" s="22"/>
      <c r="E17" s="22"/>
      <c r="F17" s="22"/>
      <c r="G17" s="22"/>
      <c r="H17" s="22"/>
      <c r="I17" s="22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9.5" customHeight="1" x14ac:dyDescent="0.25">
      <c r="A18" s="15"/>
      <c r="B18" s="22"/>
      <c r="C18" s="22"/>
      <c r="D18" s="22"/>
      <c r="E18" s="22"/>
      <c r="F18" s="22"/>
      <c r="G18" s="22"/>
      <c r="H18" s="22"/>
      <c r="I18" s="22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9.5" customHeight="1" x14ac:dyDescent="0.25">
      <c r="A19" s="15"/>
      <c r="B19" s="22"/>
      <c r="C19" s="22"/>
      <c r="D19" s="22"/>
      <c r="E19" s="22"/>
      <c r="F19" s="22"/>
      <c r="G19" s="22"/>
      <c r="H19" s="22"/>
      <c r="I19" s="22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9.5" customHeight="1" x14ac:dyDescent="0.25">
      <c r="A20" s="15"/>
      <c r="B20" s="22"/>
      <c r="C20" s="22"/>
      <c r="D20" s="22"/>
      <c r="E20" s="22"/>
      <c r="F20" s="22"/>
      <c r="G20" s="22"/>
      <c r="H20" s="22"/>
      <c r="I20" s="22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9.5" customHeight="1" x14ac:dyDescent="0.25">
      <c r="A21" s="15"/>
      <c r="B21" s="22"/>
      <c r="C21" s="22"/>
      <c r="D21" s="22"/>
      <c r="E21" s="22"/>
      <c r="F21" s="22"/>
      <c r="G21" s="22"/>
      <c r="H21" s="22"/>
      <c r="I21" s="22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9.5" customHeight="1" x14ac:dyDescent="0.25">
      <c r="A22" s="15"/>
      <c r="B22" s="22"/>
      <c r="C22" s="22"/>
      <c r="D22" s="22"/>
      <c r="E22" s="22"/>
      <c r="F22" s="22"/>
      <c r="G22" s="22"/>
      <c r="H22" s="22"/>
      <c r="I22" s="22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9.5" customHeight="1" x14ac:dyDescent="0.25">
      <c r="A23" s="15"/>
      <c r="B23" s="22"/>
      <c r="C23" s="22"/>
      <c r="D23" s="22"/>
      <c r="E23" s="22"/>
      <c r="F23" s="22"/>
      <c r="G23" s="22"/>
      <c r="H23" s="22"/>
      <c r="I23" s="22"/>
      <c r="J23" s="15"/>
      <c r="K23" s="15"/>
      <c r="L23" s="15"/>
      <c r="M23" s="15"/>
      <c r="N23" s="15"/>
      <c r="O23" s="15"/>
      <c r="P23" s="15"/>
      <c r="Q23" s="15"/>
      <c r="R23" s="15"/>
    </row>
    <row r="24" spans="1:18" ht="19.5" customHeight="1" x14ac:dyDescent="0.25">
      <c r="A24" s="15"/>
      <c r="B24" s="22"/>
      <c r="C24" s="22"/>
      <c r="D24" s="22"/>
      <c r="E24" s="22"/>
      <c r="F24" s="22"/>
      <c r="G24" s="22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</row>
    <row r="25" spans="1:18" ht="19.5" customHeight="1" x14ac:dyDescent="0.25">
      <c r="A25" s="15"/>
      <c r="B25" s="22"/>
      <c r="C25" s="22"/>
      <c r="D25" s="22"/>
      <c r="E25" s="22"/>
      <c r="F25" s="22"/>
      <c r="G25" s="22"/>
      <c r="H25" s="22"/>
      <c r="I25" s="22"/>
      <c r="J25" s="15"/>
      <c r="K25" s="15"/>
      <c r="L25" s="15"/>
      <c r="M25" s="15"/>
      <c r="N25" s="15"/>
      <c r="O25" s="15"/>
      <c r="P25" s="15"/>
      <c r="Q25" s="15"/>
      <c r="R25" s="15"/>
    </row>
    <row r="26" spans="1:1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1:18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1:18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</sheetData>
  <mergeCells count="3">
    <mergeCell ref="B2:L2"/>
    <mergeCell ref="B3:L3"/>
    <mergeCell ref="B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9E0B"/>
  </sheetPr>
  <dimension ref="A1:T5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4" customWidth="1"/>
    <col min="3" max="3" width="12" customWidth="1"/>
    <col min="4" max="4" width="9" customWidth="1"/>
    <col min="5" max="5" width="28" customWidth="1"/>
    <col min="6" max="6" width="32" customWidth="1"/>
  </cols>
  <sheetData>
    <row r="1" spans="1:2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1.5" customHeight="1" x14ac:dyDescent="0.25">
      <c r="A2" s="15"/>
      <c r="B2" s="119" t="s">
        <v>145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5"/>
      <c r="O2" s="15"/>
      <c r="P2" s="15"/>
      <c r="Q2" s="15"/>
      <c r="R2" s="15"/>
      <c r="S2" s="15"/>
      <c r="T2" s="15"/>
    </row>
    <row r="3" spans="1:20" ht="21.75" customHeight="1" x14ac:dyDescent="0.25">
      <c r="A3" s="15"/>
      <c r="B3" s="120" t="s">
        <v>146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5"/>
      <c r="O3" s="15"/>
      <c r="P3" s="15"/>
      <c r="Q3" s="15"/>
      <c r="R3" s="15"/>
      <c r="S3" s="15"/>
      <c r="T3" s="15"/>
    </row>
    <row r="4" spans="1:20" ht="21.75" customHeight="1" x14ac:dyDescent="0.25">
      <c r="A4" s="15"/>
      <c r="B4" s="79" t="s">
        <v>91</v>
      </c>
      <c r="C4" s="79" t="s">
        <v>147</v>
      </c>
      <c r="D4" s="79" t="s">
        <v>148</v>
      </c>
      <c r="E4" s="79" t="s">
        <v>149</v>
      </c>
      <c r="F4" s="79" t="s">
        <v>150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9.5" customHeight="1" x14ac:dyDescent="0.25">
      <c r="A5" s="15"/>
      <c r="B5" s="54" t="s">
        <v>151</v>
      </c>
      <c r="C5" s="80">
        <v>5</v>
      </c>
      <c r="D5" s="81" t="str">
        <f t="shared" ref="D5:D34" si="0">IFERROR(IF(C5=5,"😄",IF(C5=4,"😊",IF(C5=3,"😐",IF(C5=2,"😔","😤")))),"")</f>
        <v>😄</v>
      </c>
      <c r="E5" s="22"/>
      <c r="F5" s="22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9.5" customHeight="1" x14ac:dyDescent="0.25">
      <c r="A6" s="15"/>
      <c r="B6" s="54" t="s">
        <v>152</v>
      </c>
      <c r="C6" s="80">
        <v>4</v>
      </c>
      <c r="D6" s="81" t="str">
        <f t="shared" si="0"/>
        <v>😊</v>
      </c>
      <c r="E6" s="22"/>
      <c r="F6" s="2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19.5" customHeight="1" x14ac:dyDescent="0.25">
      <c r="A7" s="15"/>
      <c r="B7" s="54" t="s">
        <v>153</v>
      </c>
      <c r="C7" s="80">
        <v>4</v>
      </c>
      <c r="D7" s="81" t="str">
        <f t="shared" si="0"/>
        <v>😊</v>
      </c>
      <c r="E7" s="22"/>
      <c r="F7" s="22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19.5" customHeight="1" x14ac:dyDescent="0.25">
      <c r="A8" s="15"/>
      <c r="B8" s="54" t="s">
        <v>154</v>
      </c>
      <c r="C8" s="80">
        <v>3</v>
      </c>
      <c r="D8" s="81" t="str">
        <f t="shared" si="0"/>
        <v>😐</v>
      </c>
      <c r="E8" s="22"/>
      <c r="F8" s="2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19.5" customHeight="1" x14ac:dyDescent="0.25">
      <c r="A9" s="15"/>
      <c r="B9" s="54" t="s">
        <v>155</v>
      </c>
      <c r="C9" s="80">
        <v>5</v>
      </c>
      <c r="D9" s="81" t="str">
        <f t="shared" si="0"/>
        <v>😄</v>
      </c>
      <c r="E9" s="22"/>
      <c r="F9" s="22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9.5" customHeight="1" x14ac:dyDescent="0.25">
      <c r="A10" s="15"/>
      <c r="B10" s="54" t="s">
        <v>156</v>
      </c>
      <c r="C10" s="80">
        <v>5</v>
      </c>
      <c r="D10" s="81" t="str">
        <f t="shared" si="0"/>
        <v>😄</v>
      </c>
      <c r="E10" s="22"/>
      <c r="F10" s="22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9.5" customHeight="1" x14ac:dyDescent="0.25">
      <c r="A11" s="15"/>
      <c r="B11" s="54" t="s">
        <v>157</v>
      </c>
      <c r="C11" s="80">
        <v>2</v>
      </c>
      <c r="D11" s="81" t="str">
        <f t="shared" si="0"/>
        <v>😔</v>
      </c>
      <c r="E11" s="22"/>
      <c r="F11" s="22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9.5" customHeight="1" x14ac:dyDescent="0.25">
      <c r="A12" s="15"/>
      <c r="B12" s="54" t="s">
        <v>158</v>
      </c>
      <c r="C12" s="80">
        <v>4</v>
      </c>
      <c r="D12" s="81" t="str">
        <f t="shared" si="0"/>
        <v>😊</v>
      </c>
      <c r="E12" s="22"/>
      <c r="F12" s="2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9.5" customHeight="1" x14ac:dyDescent="0.25">
      <c r="A13" s="15"/>
      <c r="B13" s="54" t="s">
        <v>159</v>
      </c>
      <c r="C13" s="80">
        <v>3</v>
      </c>
      <c r="D13" s="81" t="str">
        <f t="shared" si="0"/>
        <v>😐</v>
      </c>
      <c r="E13" s="22"/>
      <c r="F13" s="2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9.5" customHeight="1" x14ac:dyDescent="0.25">
      <c r="A14" s="15"/>
      <c r="B14" s="54" t="s">
        <v>160</v>
      </c>
      <c r="C14" s="80">
        <v>5</v>
      </c>
      <c r="D14" s="81" t="str">
        <f t="shared" si="0"/>
        <v>😄</v>
      </c>
      <c r="E14" s="22"/>
      <c r="F14" s="2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9.5" customHeight="1" x14ac:dyDescent="0.25">
      <c r="A15" s="15"/>
      <c r="B15" s="54" t="s">
        <v>161</v>
      </c>
      <c r="C15" s="80">
        <v>4</v>
      </c>
      <c r="D15" s="81" t="str">
        <f t="shared" si="0"/>
        <v>😊</v>
      </c>
      <c r="E15" s="22"/>
      <c r="F15" s="22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9.5" customHeight="1" x14ac:dyDescent="0.25">
      <c r="A16" s="15"/>
      <c r="B16" s="54" t="s">
        <v>162</v>
      </c>
      <c r="C16" s="80">
        <v>4</v>
      </c>
      <c r="D16" s="81" t="str">
        <f t="shared" si="0"/>
        <v>😊</v>
      </c>
      <c r="E16" s="22"/>
      <c r="F16" s="22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9.5" customHeight="1" x14ac:dyDescent="0.25">
      <c r="A17" s="15"/>
      <c r="B17" s="54" t="s">
        <v>163</v>
      </c>
      <c r="C17" s="80">
        <v>5</v>
      </c>
      <c r="D17" s="81" t="str">
        <f t="shared" si="0"/>
        <v>😄</v>
      </c>
      <c r="E17" s="22"/>
      <c r="F17" s="22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9.5" customHeight="1" x14ac:dyDescent="0.25">
      <c r="A18" s="15"/>
      <c r="B18" s="54" t="s">
        <v>164</v>
      </c>
      <c r="C18" s="80">
        <v>3</v>
      </c>
      <c r="D18" s="81" t="str">
        <f t="shared" si="0"/>
        <v>😐</v>
      </c>
      <c r="E18" s="22"/>
      <c r="F18" s="22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9.5" customHeight="1" x14ac:dyDescent="0.25">
      <c r="A19" s="15"/>
      <c r="B19" s="54" t="s">
        <v>165</v>
      </c>
      <c r="C19" s="80">
        <v>4</v>
      </c>
      <c r="D19" s="81" t="str">
        <f t="shared" si="0"/>
        <v>😊</v>
      </c>
      <c r="E19" s="22"/>
      <c r="F19" s="22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9.5" customHeight="1" x14ac:dyDescent="0.25">
      <c r="A20" s="15"/>
      <c r="B20" s="22" t="s">
        <v>166</v>
      </c>
      <c r="C20" s="80"/>
      <c r="D20" s="81" t="str">
        <f t="shared" si="0"/>
        <v>😤</v>
      </c>
      <c r="E20" s="22"/>
      <c r="F20" s="2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9.5" customHeight="1" x14ac:dyDescent="0.25">
      <c r="A21" s="15"/>
      <c r="B21" s="22" t="s">
        <v>167</v>
      </c>
      <c r="C21" s="80"/>
      <c r="D21" s="81" t="str">
        <f t="shared" si="0"/>
        <v>😤</v>
      </c>
      <c r="E21" s="22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9.5" customHeight="1" x14ac:dyDescent="0.25">
      <c r="A22" s="15"/>
      <c r="B22" s="22" t="s">
        <v>168</v>
      </c>
      <c r="C22" s="80"/>
      <c r="D22" s="81" t="str">
        <f t="shared" si="0"/>
        <v>😤</v>
      </c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9.5" customHeight="1" x14ac:dyDescent="0.25">
      <c r="A23" s="15"/>
      <c r="B23" s="22" t="s">
        <v>169</v>
      </c>
      <c r="C23" s="80"/>
      <c r="D23" s="81" t="str">
        <f t="shared" si="0"/>
        <v>😤</v>
      </c>
      <c r="E23" s="22"/>
      <c r="F23" s="2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9.5" customHeight="1" x14ac:dyDescent="0.25">
      <c r="A24" s="15"/>
      <c r="B24" s="22" t="s">
        <v>170</v>
      </c>
      <c r="C24" s="80"/>
      <c r="D24" s="81" t="str">
        <f t="shared" si="0"/>
        <v>😤</v>
      </c>
      <c r="E24" s="22"/>
      <c r="F24" s="2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9.5" customHeight="1" x14ac:dyDescent="0.25">
      <c r="A25" s="15"/>
      <c r="B25" s="22" t="s">
        <v>171</v>
      </c>
      <c r="C25" s="80"/>
      <c r="D25" s="81" t="str">
        <f t="shared" si="0"/>
        <v>😤</v>
      </c>
      <c r="E25" s="22"/>
      <c r="F25" s="2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9.5" customHeight="1" x14ac:dyDescent="0.25">
      <c r="A26" s="15"/>
      <c r="B26" s="22" t="s">
        <v>172</v>
      </c>
      <c r="C26" s="80"/>
      <c r="D26" s="81" t="str">
        <f t="shared" si="0"/>
        <v>😤</v>
      </c>
      <c r="E26" s="22"/>
      <c r="F26" s="22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9.5" customHeight="1" x14ac:dyDescent="0.25">
      <c r="A27" s="15"/>
      <c r="B27" s="22" t="s">
        <v>173</v>
      </c>
      <c r="C27" s="80"/>
      <c r="D27" s="81" t="str">
        <f t="shared" si="0"/>
        <v>😤</v>
      </c>
      <c r="E27" s="22"/>
      <c r="F27" s="22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9.5" customHeight="1" x14ac:dyDescent="0.25">
      <c r="A28" s="15"/>
      <c r="B28" s="22" t="s">
        <v>174</v>
      </c>
      <c r="C28" s="80"/>
      <c r="D28" s="81" t="str">
        <f t="shared" si="0"/>
        <v>😤</v>
      </c>
      <c r="E28" s="22"/>
      <c r="F28" s="22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19.5" customHeight="1" x14ac:dyDescent="0.25">
      <c r="A29" s="15"/>
      <c r="B29" s="22" t="s">
        <v>175</v>
      </c>
      <c r="C29" s="80"/>
      <c r="D29" s="81" t="str">
        <f t="shared" si="0"/>
        <v>😤</v>
      </c>
      <c r="E29" s="22"/>
      <c r="F29" s="2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19.5" customHeight="1" x14ac:dyDescent="0.25">
      <c r="A30" s="15"/>
      <c r="B30" s="22" t="s">
        <v>176</v>
      </c>
      <c r="C30" s="80"/>
      <c r="D30" s="81" t="str">
        <f t="shared" si="0"/>
        <v>😤</v>
      </c>
      <c r="E30" s="22"/>
      <c r="F30" s="22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9.5" customHeight="1" x14ac:dyDescent="0.25">
      <c r="A31" s="15"/>
      <c r="B31" s="22" t="s">
        <v>177</v>
      </c>
      <c r="C31" s="80"/>
      <c r="D31" s="81" t="str">
        <f t="shared" si="0"/>
        <v>😤</v>
      </c>
      <c r="E31" s="22"/>
      <c r="F31" s="22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9.5" customHeight="1" x14ac:dyDescent="0.25">
      <c r="A32" s="15"/>
      <c r="B32" s="22" t="s">
        <v>178</v>
      </c>
      <c r="C32" s="80"/>
      <c r="D32" s="81" t="str">
        <f t="shared" si="0"/>
        <v>😤</v>
      </c>
      <c r="E32" s="22"/>
      <c r="F32" s="2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19.5" customHeight="1" x14ac:dyDescent="0.25">
      <c r="A33" s="15"/>
      <c r="B33" s="22" t="s">
        <v>179</v>
      </c>
      <c r="C33" s="80"/>
      <c r="D33" s="81" t="str">
        <f t="shared" si="0"/>
        <v>😤</v>
      </c>
      <c r="E33" s="22"/>
      <c r="F33" s="22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9.5" customHeight="1" x14ac:dyDescent="0.25">
      <c r="A34" s="15"/>
      <c r="B34" s="22" t="s">
        <v>180</v>
      </c>
      <c r="C34" s="80"/>
      <c r="D34" s="81" t="str">
        <f t="shared" si="0"/>
        <v>😤</v>
      </c>
      <c r="E34" s="22"/>
      <c r="F34" s="22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24" customHeight="1" x14ac:dyDescent="0.25">
      <c r="A36" s="15"/>
      <c r="B36" s="121" t="s">
        <v>181</v>
      </c>
      <c r="C36" s="121"/>
      <c r="D36" s="121"/>
      <c r="E36" s="121"/>
      <c r="F36" s="121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21.75" customHeight="1" x14ac:dyDescent="0.25">
      <c r="A37" s="15"/>
      <c r="B37" s="31" t="s">
        <v>182</v>
      </c>
      <c r="C37" s="82">
        <f>COUNTIF(C5:C34,5)</f>
        <v>5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21.75" customHeight="1" x14ac:dyDescent="0.25">
      <c r="A38" s="15"/>
      <c r="B38" s="31" t="s">
        <v>183</v>
      </c>
      <c r="C38" s="82">
        <f>COUNTIF(C5:C34,4)</f>
        <v>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21.75" customHeight="1" x14ac:dyDescent="0.25">
      <c r="A39" s="15"/>
      <c r="B39" s="31" t="s">
        <v>184</v>
      </c>
      <c r="C39" s="82">
        <f>COUNTIF(C5:C34,3)</f>
        <v>3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1.75" customHeight="1" x14ac:dyDescent="0.25">
      <c r="A40" s="15"/>
      <c r="B40" s="31" t="s">
        <v>185</v>
      </c>
      <c r="C40" s="82">
        <f>COUNTIF(C5:C34,2)</f>
        <v>1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21.75" customHeight="1" x14ac:dyDescent="0.25">
      <c r="A41" s="15"/>
      <c r="B41" s="31" t="s">
        <v>186</v>
      </c>
      <c r="C41" s="83">
        <f>IFERROR(AVERAGE(C5:C34),"")</f>
        <v>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3">
    <mergeCell ref="B2:M2"/>
    <mergeCell ref="B3:M3"/>
    <mergeCell ref="B36:F36"/>
  </mergeCells>
  <conditionalFormatting sqref="C5:C34">
    <cfRule type="colorScale" priority="2">
      <colorScale>
        <cfvo type="num" val="1"/>
        <cfvo type="num" val="3"/>
        <cfvo type="num" val="5"/>
        <color rgb="FFFF6B6B"/>
        <color rgb="FFFFE66D"/>
        <color rgb="FF4ECDC4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855F7"/>
  </sheetPr>
  <dimension ref="A1:R4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3" width="16" customWidth="1"/>
    <col min="4" max="5" width="18" customWidth="1"/>
  </cols>
  <sheetData>
    <row r="1" spans="1:18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31.5" customHeight="1" x14ac:dyDescent="0.25">
      <c r="A2" s="15"/>
      <c r="B2" s="99" t="s">
        <v>187</v>
      </c>
      <c r="C2" s="99"/>
      <c r="D2" s="99"/>
      <c r="E2" s="99"/>
      <c r="F2" s="99"/>
      <c r="G2" s="99"/>
      <c r="H2" s="99"/>
      <c r="I2" s="99"/>
      <c r="J2" s="15"/>
      <c r="K2" s="15"/>
      <c r="L2" s="15"/>
      <c r="M2" s="15"/>
      <c r="N2" s="15"/>
      <c r="O2" s="15"/>
      <c r="P2" s="15"/>
      <c r="Q2" s="15"/>
      <c r="R2" s="15"/>
    </row>
    <row r="3" spans="1:18" ht="19.5" customHeight="1" x14ac:dyDescent="0.25">
      <c r="A3" s="15"/>
      <c r="B3" s="122" t="s">
        <v>188</v>
      </c>
      <c r="C3" s="122"/>
      <c r="D3" s="122"/>
      <c r="E3" s="122"/>
      <c r="F3" s="122"/>
      <c r="G3" s="122"/>
      <c r="H3" s="122"/>
      <c r="I3" s="122"/>
      <c r="J3" s="15"/>
      <c r="K3" s="15"/>
      <c r="L3" s="15"/>
      <c r="M3" s="15"/>
      <c r="N3" s="15"/>
      <c r="O3" s="15"/>
      <c r="P3" s="15"/>
      <c r="Q3" s="15"/>
      <c r="R3" s="15"/>
    </row>
    <row r="4" spans="1:18" ht="21.75" customHeight="1" x14ac:dyDescent="0.25">
      <c r="A4" s="15"/>
      <c r="B4" s="17" t="s">
        <v>189</v>
      </c>
      <c r="C4" s="17" t="s">
        <v>190</v>
      </c>
      <c r="D4" s="17" t="s">
        <v>191</v>
      </c>
      <c r="E4" s="17" t="s">
        <v>192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21.75" customHeight="1" x14ac:dyDescent="0.25">
      <c r="A5" s="15"/>
      <c r="B5" s="21" t="s">
        <v>193</v>
      </c>
      <c r="C5" s="84">
        <v>7</v>
      </c>
      <c r="D5" s="85" t="str">
        <f t="shared" ref="D5:D14" si="0">REPT("★",C5)&amp;REPT("☆",10-C5)</f>
        <v>★★★★★★★☆☆☆</v>
      </c>
      <c r="E5" s="24" t="str">
        <f t="shared" ref="E5:E14" si="1">IFERROR(IF(C5&gt;=9,"🏆 Мастер",IF(C5&gt;=7,"🌟 Продвинутый",IF(C5&gt;=5,"📈 Развиваю",IF(C5&gt;=3,"🌱 Начинающий","🐣 Только старт")))),"")</f>
        <v>🌟 Продвинутый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ht="21.75" customHeight="1" x14ac:dyDescent="0.25">
      <c r="A6" s="15"/>
      <c r="B6" s="25" t="s">
        <v>194</v>
      </c>
      <c r="C6" s="84">
        <v>8</v>
      </c>
      <c r="D6" s="86" t="str">
        <f t="shared" si="0"/>
        <v>★★★★★★★★☆☆</v>
      </c>
      <c r="E6" s="26" t="str">
        <f t="shared" si="1"/>
        <v>🌟 Продвинутый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21.75" customHeight="1" x14ac:dyDescent="0.25">
      <c r="A7" s="15"/>
      <c r="B7" s="31" t="s">
        <v>195</v>
      </c>
      <c r="C7" s="84">
        <v>9</v>
      </c>
      <c r="D7" s="87" t="str">
        <f t="shared" si="0"/>
        <v>★★★★★★★★★☆</v>
      </c>
      <c r="E7" s="32" t="str">
        <f t="shared" si="1"/>
        <v>🏆 Мастер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21.75" customHeight="1" x14ac:dyDescent="0.25">
      <c r="A8" s="15"/>
      <c r="B8" s="27" t="s">
        <v>196</v>
      </c>
      <c r="C8" s="84">
        <v>6</v>
      </c>
      <c r="D8" s="88" t="str">
        <f t="shared" si="0"/>
        <v>★★★★★★☆☆☆☆</v>
      </c>
      <c r="E8" s="28" t="str">
        <f t="shared" si="1"/>
        <v>📈 Развиваю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21.75" customHeight="1" x14ac:dyDescent="0.25">
      <c r="A9" s="15"/>
      <c r="B9" s="29" t="s">
        <v>197</v>
      </c>
      <c r="C9" s="84">
        <v>8</v>
      </c>
      <c r="D9" s="89" t="str">
        <f t="shared" si="0"/>
        <v>★★★★★★★★☆☆</v>
      </c>
      <c r="E9" s="30" t="str">
        <f t="shared" si="1"/>
        <v>🌟 Продвинутый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ht="21.75" customHeight="1" x14ac:dyDescent="0.25">
      <c r="A10" s="15"/>
      <c r="B10" s="33" t="s">
        <v>198</v>
      </c>
      <c r="C10" s="84">
        <v>5</v>
      </c>
      <c r="D10" s="90" t="str">
        <f t="shared" si="0"/>
        <v>★★★★★☆☆☆☆☆</v>
      </c>
      <c r="E10" s="34" t="str">
        <f t="shared" si="1"/>
        <v>📈 Развиваю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21.75" customHeight="1" x14ac:dyDescent="0.25">
      <c r="A11" s="15"/>
      <c r="B11" s="21" t="s">
        <v>199</v>
      </c>
      <c r="C11" s="84">
        <v>7</v>
      </c>
      <c r="D11" s="85" t="str">
        <f t="shared" si="0"/>
        <v>★★★★★★★☆☆☆</v>
      </c>
      <c r="E11" s="24" t="str">
        <f t="shared" si="1"/>
        <v>🌟 Продвинутый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21.75" customHeight="1" x14ac:dyDescent="0.25">
      <c r="A12" s="15"/>
      <c r="B12" s="25" t="s">
        <v>200</v>
      </c>
      <c r="C12" s="84">
        <v>9</v>
      </c>
      <c r="D12" s="86" t="str">
        <f t="shared" si="0"/>
        <v>★★★★★★★★★☆</v>
      </c>
      <c r="E12" s="26" t="str">
        <f t="shared" si="1"/>
        <v>🏆 Мастер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1.75" customHeight="1" x14ac:dyDescent="0.25">
      <c r="A13" s="15"/>
      <c r="B13" s="31" t="s">
        <v>201</v>
      </c>
      <c r="C13" s="84">
        <v>7</v>
      </c>
      <c r="D13" s="87" t="str">
        <f t="shared" si="0"/>
        <v>★★★★★★★☆☆☆</v>
      </c>
      <c r="E13" s="32" t="str">
        <f t="shared" si="1"/>
        <v>🌟 Продвинутый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ht="21.75" customHeight="1" x14ac:dyDescent="0.25">
      <c r="A14" s="15"/>
      <c r="B14" s="27" t="s">
        <v>202</v>
      </c>
      <c r="C14" s="84">
        <v>6</v>
      </c>
      <c r="D14" s="88" t="str">
        <f t="shared" si="0"/>
        <v>★★★★★★☆☆☆☆</v>
      </c>
      <c r="E14" s="28" t="str">
        <f t="shared" si="1"/>
        <v>📈 Развиваю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</sheetData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🏠 Главная</vt:lpstr>
      <vt:lpstr>📚 Учёба</vt:lpstr>
      <vt:lpstr>🎯 Цели</vt:lpstr>
      <vt:lpstr>🔥 Привычки</vt:lpstr>
      <vt:lpstr>💪 Физкультура</vt:lpstr>
      <vt:lpstr>📖 Книги</vt:lpstr>
      <vt:lpstr>😊 Настроение</vt:lpstr>
      <vt:lpstr>🌟 Мои навыки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Павел Юшкин</cp:lastModifiedBy>
  <cp:revision>1</cp:revision>
  <dcterms:created xsi:type="dcterms:W3CDTF">2026-02-21T19:15:27Z</dcterms:created>
  <dcterms:modified xsi:type="dcterms:W3CDTF">2026-02-21T20:27:19Z</dcterms:modified>
  <dc:language>en-US</dc:language>
</cp:coreProperties>
</file>